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ev Budget" sheetId="3" state="visible" r:id="rId5"/>
    <sheet name="Capital Stack" sheetId="4" state="visible" r:id="rId6"/>
    <sheet name="Pro Forma" sheetId="5" state="visible" r:id="rId7"/>
    <sheet name="JV Waterfall" sheetId="6" state="visible" r:id="rId8"/>
    <sheet name="Cap Events" sheetId="7" state="visible" r:id="rId9"/>
    <sheet name="Balance Sheet" sheetId="8" state="visible" r:id="rId10"/>
    <sheet name="Sensitiv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<sst xmlns="http://schemas.openxmlformats.org/spreadsheetml/2006/main" count="348" uniqueCount="318">
  <si>
    <t xml:space="preserve">THE PLAZA AT WATSONVILLE</t>
  </si>
  <si>
    <t xml:space="preserve">Keystone Private Equity Request — Capital Model</t>
  </si>
  <si>
    <t xml:space="preserve">140 UNITS  |  4% LIHTC  |  TAX-EXEMPT BONDS  |  SECTION 8 HCV  |  RETAIL PAVILION</t>
  </si>
  <si>
    <t xml:space="preserve">$69,733,653</t>
  </si>
  <si>
    <t xml:space="preserve">140</t>
  </si>
  <si>
    <t xml:space="preserve">1.15x</t>
  </si>
  <si>
    <t xml:space="preserve">Total Dev Cost</t>
  </si>
  <si>
    <t xml:space="preserve">Total Units</t>
  </si>
  <si>
    <t xml:space="preserve">Permanent DSCR</t>
  </si>
  <si>
    <t xml:space="preserve">MODEL NAVIGATION</t>
  </si>
  <si>
    <t xml:space="preserve">Assumptions</t>
  </si>
  <si>
    <t xml:space="preserve">All hardcoded inputs — rates, costs, rents, timing</t>
  </si>
  <si>
    <t xml:space="preserve">Dev Budget</t>
  </si>
  <si>
    <t xml:space="preserve">Sources &amp; Uses · Full development cost by line item</t>
  </si>
  <si>
    <t xml:space="preserve">Capital Stack</t>
  </si>
  <si>
    <t xml:space="preserve">LIHTC structure · Bond test · Construction financing</t>
  </si>
  <si>
    <t xml:space="preserve">Pro Forma</t>
  </si>
  <si>
    <t xml:space="preserve">Unit mix · Revenue · NOI · Stabilized value</t>
  </si>
  <si>
    <t xml:space="preserve">JV Waterfall</t>
  </si>
  <si>
    <t xml:space="preserve">Land equity · Preferred return · 50/50 profit split</t>
  </si>
  <si>
    <t xml:space="preserve">Cap Events</t>
  </si>
  <si>
    <t xml:space="preserve">Refi Year 3 · Sale Year 10 · JV partner returns</t>
  </si>
  <si>
    <t xml:space="preserve">Balance Sheet</t>
  </si>
  <si>
    <t xml:space="preserve">Day 1 · Year 15 LIHTC exit · Net equity positions</t>
  </si>
  <si>
    <t xml:space="preserve">Sensitivity</t>
  </si>
  <si>
    <t xml:space="preserve">NOI / Cap rate / Construction cost stress matrix</t>
  </si>
  <si>
    <t xml:space="preserve">PLUSAdvantage™ 2026  ·  Western Realty Finance  ·  April 12, 2026  ·  CONFIDENTIAL</t>
  </si>
  <si>
    <t xml:space="preserve">COLOR CODING LEGEND</t>
  </si>
  <si>
    <t xml:space="preserve">●</t>
  </si>
  <si>
    <t xml:space="preserve">Blue text = Hardcoded input — change to model scenarios</t>
  </si>
  <si>
    <t xml:space="preserve">Green text = Formula linked from another sheet</t>
  </si>
  <si>
    <t xml:space="preserve">Black text = Calculated formula within this sheet</t>
  </si>
  <si>
    <t xml:space="preserve">Yellow fill = Key assumption — review before use</t>
  </si>
  <si>
    <t xml:space="preserve">ASSUMPTIONS — HARDCODED INPUTS (Blue = Change to Model Scenarios)</t>
  </si>
  <si>
    <t xml:space="preserve">PROJECT BASICS</t>
  </si>
  <si>
    <t xml:space="preserve">Source: KPER v12</t>
  </si>
  <si>
    <t xml:space="preserve">New Construction Units</t>
  </si>
  <si>
    <t xml:space="preserve">Air-Rights Units</t>
  </si>
  <si>
    <t xml:space="preserve">28 2nd St</t>
  </si>
  <si>
    <t xml:space="preserve">Retail SF (335 Main)</t>
  </si>
  <si>
    <t xml:space="preserve">Pavilion only</t>
  </si>
  <si>
    <t xml:space="preserve">Target AMI Level</t>
  </si>
  <si>
    <t xml:space="preserve">60% AMI</t>
  </si>
  <si>
    <t xml:space="preserve">Construction Start</t>
  </si>
  <si>
    <t xml:space="preserve">Q3 2026</t>
  </si>
  <si>
    <t xml:space="preserve">Estimated</t>
  </si>
  <si>
    <t xml:space="preserve">Construction Term (mo)</t>
  </si>
  <si>
    <t xml:space="preserve">Stabilization Month</t>
  </si>
  <si>
    <t xml:space="preserve">LAND &amp; ACQUISITION</t>
  </si>
  <si>
    <t xml:space="preserve">335 Main St — Est. MV</t>
  </si>
  <si>
    <t xml:space="preserve">Romo family; no debt</t>
  </si>
  <si>
    <t xml:space="preserve">28 2nd St — Est. MV</t>
  </si>
  <si>
    <t xml:space="preserve">Romo family</t>
  </si>
  <si>
    <t xml:space="preserve">28 2nd St — Existing Debt</t>
  </si>
  <si>
    <t xml:space="preserve">Heritage Bank (current)</t>
  </si>
  <si>
    <t xml:space="preserve">210 Rodriguez — City</t>
  </si>
  <si>
    <t xml:space="preserve">Pending confirmation</t>
  </si>
  <si>
    <t xml:space="preserve">320 Rodriguez — City</t>
  </si>
  <si>
    <t xml:space="preserve">CONSTRUCTION COSTS</t>
  </si>
  <si>
    <t xml:space="preserve">New Construction ($/unit)</t>
  </si>
  <si>
    <t xml:space="preserve">100 units</t>
  </si>
  <si>
    <t xml:space="preserve">Air-Rights ($/unit)</t>
  </si>
  <si>
    <t xml:space="preserve">40 units</t>
  </si>
  <si>
    <t xml:space="preserve">Retail Pavilion</t>
  </si>
  <si>
    <t xml:space="preserve">335 Main St</t>
  </si>
  <si>
    <t xml:space="preserve">Horizontal Hard Costs</t>
  </si>
  <si>
    <t xml:space="preserve">Site, utilities, demo</t>
  </si>
  <si>
    <t xml:space="preserve">Contingency %</t>
  </si>
  <si>
    <t xml:space="preserve">5% of hard costs</t>
  </si>
  <si>
    <t xml:space="preserve">Developer Fee %</t>
  </si>
  <si>
    <t xml:space="preserve">7% of TDC</t>
  </si>
  <si>
    <t xml:space="preserve">FINANCING — CONSTRUCTION</t>
  </si>
  <si>
    <t xml:space="preserve">Bond Rate (Tax-Exempt IO)</t>
  </si>
  <si>
    <t xml:space="preserve">5.5%</t>
  </si>
  <si>
    <t xml:space="preserve">Interest Reserve Factor</t>
  </si>
  <si>
    <t xml:space="preserve">50% of full-term interest</t>
  </si>
  <si>
    <t xml:space="preserve">Lender Fee %</t>
  </si>
  <si>
    <t xml:space="preserve">1.5%</t>
  </si>
  <si>
    <t xml:space="preserve">Broker Fee %</t>
  </si>
  <si>
    <t xml:space="preserve">1.0%</t>
  </si>
  <si>
    <t xml:space="preserve">Closing Costs</t>
  </si>
  <si>
    <t xml:space="preserve">Fixed</t>
  </si>
  <si>
    <t xml:space="preserve">LTC Ceiling</t>
  </si>
  <si>
    <t xml:space="preserve">80% — policy max</t>
  </si>
  <si>
    <t xml:space="preserve">LTV Ceiling</t>
  </si>
  <si>
    <t xml:space="preserve">65% — governs</t>
  </si>
  <si>
    <t xml:space="preserve">FINANCING — PERMANENT</t>
  </si>
  <si>
    <t xml:space="preserve">Permanent Loan Rate</t>
  </si>
  <si>
    <t xml:space="preserve">4.5% fixed</t>
  </si>
  <si>
    <t xml:space="preserve">Permanent Term (yr)</t>
  </si>
  <si>
    <t xml:space="preserve">Agency forward</t>
  </si>
  <si>
    <t xml:space="preserve">Permanent Amortization</t>
  </si>
  <si>
    <t xml:space="preserve">Years</t>
  </si>
  <si>
    <t xml:space="preserve">Target DSCR</t>
  </si>
  <si>
    <t xml:space="preserve">LIHTC / TAX CREDITS</t>
  </si>
  <si>
    <t xml:space="preserve">Eligible Basis</t>
  </si>
  <si>
    <t xml:space="preserve">High-Cost Area Boost</t>
  </si>
  <si>
    <t xml:space="preserve">130% — Watsonville</t>
  </si>
  <si>
    <t xml:space="preserve">4% Annual Credit Rate</t>
  </si>
  <si>
    <t xml:space="preserve">IRS published rate</t>
  </si>
  <si>
    <t xml:space="preserve">Credit Period (yr)</t>
  </si>
  <si>
    <t xml:space="preserve">Credit Price ($/credit)</t>
  </si>
  <si>
    <t xml:space="preserve">$/dollar of credit</t>
  </si>
  <si>
    <t xml:space="preserve">REVENUE ASSUMPTIONS</t>
  </si>
  <si>
    <t xml:space="preserve">Studio Rent/mo</t>
  </si>
  <si>
    <t xml:space="preserve">15 units, 450 SF</t>
  </si>
  <si>
    <t xml:space="preserve">1-BR Rent/mo</t>
  </si>
  <si>
    <t xml:space="preserve">50 units, 650 SF</t>
  </si>
  <si>
    <t xml:space="preserve">2-BR Rent/mo</t>
  </si>
  <si>
    <t xml:space="preserve">55 units, 900 SF</t>
  </si>
  <si>
    <t xml:space="preserve">3-BR Rent/mo</t>
  </si>
  <si>
    <t xml:space="preserve">20 units, 1,150 SF</t>
  </si>
  <si>
    <t xml:space="preserve">Vacancy Rate</t>
  </si>
  <si>
    <t xml:space="preserve">5%</t>
  </si>
  <si>
    <t xml:space="preserve">Retail Income/yr</t>
  </si>
  <si>
    <t xml:space="preserve">Pavilion ground lease</t>
  </si>
  <si>
    <t xml:space="preserve">OpEx Ratio</t>
  </si>
  <si>
    <t xml:space="preserve">35% of EGI</t>
  </si>
  <si>
    <t xml:space="preserve">VALUATION &amp; JV</t>
  </si>
  <si>
    <t xml:space="preserve">Stabilized Cap Rate</t>
  </si>
  <si>
    <t xml:space="preserve">4.25%</t>
  </si>
  <si>
    <t xml:space="preserve">Exit Cap Rate (Yr 10)</t>
  </si>
  <si>
    <t xml:space="preserve">4.5%</t>
  </si>
  <si>
    <t xml:space="preserve">Annual NOI Growth</t>
  </si>
  <si>
    <t xml:space="preserve">2.5% per year</t>
  </si>
  <si>
    <t xml:space="preserve">Preferred Return</t>
  </si>
  <si>
    <t xml:space="preserve">8% annual — JV Partner</t>
  </si>
  <si>
    <t xml:space="preserve">JV Profit Split</t>
  </si>
  <si>
    <t xml:space="preserve">50/50</t>
  </si>
  <si>
    <t xml:space="preserve">Disposition Cost %</t>
  </si>
  <si>
    <t xml:space="preserve">3% of sale price</t>
  </si>
  <si>
    <t xml:space="preserve">Refi LTV (Yr 3)</t>
  </si>
  <si>
    <t xml:space="preserve">80% LTV</t>
  </si>
  <si>
    <t xml:space="preserve">PLUSAdvantage™ 2026  ·  Western Realty Finance  ·  CONFIDENTIAL</t>
  </si>
  <si>
    <t xml:space="preserve">DEVELOPMENT BUDGET — SOURCES &amp; USES</t>
  </si>
  <si>
    <t xml:space="preserve">Line Item</t>
  </si>
  <si>
    <t xml:space="preserve">Amount</t>
  </si>
  <si>
    <t xml:space="preserve">% Total</t>
  </si>
  <si>
    <t xml:space="preserve">Per Unit</t>
  </si>
  <si>
    <t xml:space="preserve">Notes</t>
  </si>
  <si>
    <t xml:space="preserve">USES OF FUNDS</t>
  </si>
  <si>
    <t xml:space="preserve">Land &amp; Acquisition</t>
  </si>
  <si>
    <t xml:space="preserve">Four parcels incl. city contribution</t>
  </si>
  <si>
    <t xml:space="preserve">  335 Main St (JV Partner)</t>
  </si>
  <si>
    <t xml:space="preserve">Est. MV, no debt</t>
  </si>
  <si>
    <t xml:space="preserve">  28 2nd St (net of debt)</t>
  </si>
  <si>
    <t xml:space="preserve">MV $3.8M less $2.42M Heritage</t>
  </si>
  <si>
    <t xml:space="preserve">  210 Rodriguez (City)</t>
  </si>
  <si>
    <t xml:space="preserve">  320 Rodriguez (City)</t>
  </si>
  <si>
    <t xml:space="preserve">  Other Acquisition</t>
  </si>
  <si>
    <t xml:space="preserve">Title, closing, misc</t>
  </si>
  <si>
    <t xml:space="preserve">Site, utilities, demo $800K</t>
  </si>
  <si>
    <t xml:space="preserve">New Construction (100×$310K)</t>
  </si>
  <si>
    <t xml:space="preserve">100 units new construction</t>
  </si>
  <si>
    <t xml:space="preserve">Air-Rights (40×$270K)</t>
  </si>
  <si>
    <t xml:space="preserve">40 units — 28 2nd St</t>
  </si>
  <si>
    <t xml:space="preserve">Retail Pavilion (335 Main)</t>
  </si>
  <si>
    <t xml:space="preserve">Pavilion, ground floor</t>
  </si>
  <si>
    <t xml:space="preserve">Contingency (5%)</t>
  </si>
  <si>
    <t xml:space="preserve">Soft Costs &amp; Fees</t>
  </si>
  <si>
    <t xml:space="preserve">Arch, eng, legal, permits</t>
  </si>
  <si>
    <t xml:space="preserve">Developer Fee (7%)</t>
  </si>
  <si>
    <t xml:space="preserve">50/50 split w/ NP GP</t>
  </si>
  <si>
    <t xml:space="preserve">Financing Costs &amp; Reserves</t>
  </si>
  <si>
    <t xml:space="preserve">Interest reserve, fees, closing</t>
  </si>
  <si>
    <t xml:space="preserve">TOTAL PROJECT COST</t>
  </si>
  <si>
    <t xml:space="preserve">SOURCES OF FUNDS</t>
  </si>
  <si>
    <t xml:space="preserve">Source</t>
  </si>
  <si>
    <t xml:space="preserve">% TDC</t>
  </si>
  <si>
    <t xml:space="preserve">Senior Construction Loan</t>
  </si>
  <si>
    <t xml:space="preserve">58.0%</t>
  </si>
  <si>
    <t xml:space="preserve">LTV governs — 61.4%</t>
  </si>
  <si>
    <t xml:space="preserve">LIHTC Tax Credit Equity (4%)</t>
  </si>
  <si>
    <t xml:space="preserve">37.9%</t>
  </si>
  <si>
    <t xml:space="preserve">Subordinate gap capital</t>
  </si>
  <si>
    <t xml:space="preserve">JV Land — 335 Main St</t>
  </si>
  <si>
    <t xml:space="preserve">1.7%</t>
  </si>
  <si>
    <t xml:space="preserve">Romo; no debt</t>
  </si>
  <si>
    <t xml:space="preserve">JV Land — 28 2nd St (net)</t>
  </si>
  <si>
    <t xml:space="preserve">2.0%</t>
  </si>
  <si>
    <t xml:space="preserve">Net of $2.42M Heritage debt</t>
  </si>
  <si>
    <t xml:space="preserve">City Land Contribution</t>
  </si>
  <si>
    <t xml:space="preserve">0.3%</t>
  </si>
  <si>
    <t xml:space="preserve">210 + 320 Rodriguez</t>
  </si>
  <si>
    <t xml:space="preserve">TOTAL SOURCES</t>
  </si>
  <si>
    <t xml:space="preserve">CAPITAL STACK — LIHTC FINANCING STRUCTURE</t>
  </si>
  <si>
    <t xml:space="preserve">PHASE 1: CONSTRUCTION FINANCING</t>
  </si>
  <si>
    <t xml:space="preserve">Senior Loan Amount</t>
  </si>
  <si>
    <t xml:space="preserve">LTV governs</t>
  </si>
  <si>
    <t xml:space="preserve">Construction Term (months)</t>
  </si>
  <si>
    <t xml:space="preserve">Monthly Debt Service (IO)</t>
  </si>
  <si>
    <t xml:space="preserve">Interest only</t>
  </si>
  <si>
    <t xml:space="preserve">Annual Interest (full term)</t>
  </si>
  <si>
    <t xml:space="preserve">Interest Reserve (50%)</t>
  </si>
  <si>
    <t xml:space="preserve">Lender Fee (1.5%)</t>
  </si>
  <si>
    <t xml:space="preserve">Broker Fee (1.0%)</t>
  </si>
  <si>
    <t xml:space="preserve">SENIOR LOAN UNDERWRITING TESTS</t>
  </si>
  <si>
    <t xml:space="preserve">80% LTC Ceiling</t>
  </si>
  <si>
    <t xml:space="preserve">PASS</t>
  </si>
  <si>
    <t xml:space="preserve">CEILING</t>
  </si>
  <si>
    <t xml:space="preserve">65% LTV Ceiling</t>
  </si>
  <si>
    <t xml:space="preserve">CEILING — GOVERNS</t>
  </si>
  <si>
    <t xml:space="preserve">Actual Senior Loan</t>
  </si>
  <si>
    <t xml:space="preserve">LTC (Actual)</t>
  </si>
  <si>
    <t xml:space="preserve">LTV (Actual)</t>
  </si>
  <si>
    <t xml:space="preserve">LIHTC EQUITY CALCULATION (4%)</t>
  </si>
  <si>
    <t xml:space="preserve">High-Cost Area Boost (130%)</t>
  </si>
  <si>
    <t xml:space="preserve">Boosted Eligible Basis</t>
  </si>
  <si>
    <t xml:space="preserve">4% Annual Credit</t>
  </si>
  <si>
    <t xml:space="preserve">Credit Period</t>
  </si>
  <si>
    <t xml:space="preserve">Total 10-Year Credits</t>
  </si>
  <si>
    <t xml:space="preserve">Credit Price</t>
  </si>
  <si>
    <t xml:space="preserve">TOTAL LIHTC EQUITY</t>
  </si>
  <si>
    <t xml:space="preserve">PHASE 2: PERMANENT FINANCING</t>
  </si>
  <si>
    <t xml:space="preserve">Permanent Loan Amount</t>
  </si>
  <si>
    <t xml:space="preserve">Permanent Rate</t>
  </si>
  <si>
    <t xml:space="preserve">Term (years)</t>
  </si>
  <si>
    <t xml:space="preserve">Monthly Payment</t>
  </si>
  <si>
    <t xml:space="preserve">Annual Debt Service</t>
  </si>
  <si>
    <t xml:space="preserve">Stabilized NOI</t>
  </si>
  <si>
    <t xml:space="preserve">REVENUE &amp; STABILIZED PRO FORMA</t>
  </si>
  <si>
    <t xml:space="preserve">UNIT MIX &amp; RENT SCHEDULE</t>
  </si>
  <si>
    <t xml:space="preserve">Type</t>
  </si>
  <si>
    <t xml:space="preserve">Count</t>
  </si>
  <si>
    <t xml:space="preserve">SF</t>
  </si>
  <si>
    <t xml:space="preserve">Rent/mo</t>
  </si>
  <si>
    <t xml:space="preserve">Annual</t>
  </si>
  <si>
    <t xml:space="preserve">% Rev</t>
  </si>
  <si>
    <t xml:space="preserve">Studio</t>
  </si>
  <si>
    <t xml:space="preserve">1-BR</t>
  </si>
  <si>
    <t xml:space="preserve">2-BR</t>
  </si>
  <si>
    <t xml:space="preserve">3-BR</t>
  </si>
  <si>
    <t xml:space="preserve">Total</t>
  </si>
  <si>
    <t xml:space="preserve">STABILIZED PRO FORMA (ANNUAL)</t>
  </si>
  <si>
    <t xml:space="preserve">Gross Residential Rent</t>
  </si>
  <si>
    <t xml:space="preserve">Less: Vacancy (5%)</t>
  </si>
  <si>
    <t xml:space="preserve">Retail Income</t>
  </si>
  <si>
    <t xml:space="preserve">Effective Gross Income (EGI)</t>
  </si>
  <si>
    <t xml:space="preserve">Less: Operating Expenses (35%)</t>
  </si>
  <si>
    <t xml:space="preserve">NET OPERATING INCOME</t>
  </si>
  <si>
    <t xml:space="preserve">Stabilized Value (4.25% cap)</t>
  </si>
  <si>
    <t xml:space="preserve">Less: Permanent Loan</t>
  </si>
  <si>
    <t xml:space="preserve">Net Equity (Day 1)</t>
  </si>
  <si>
    <t xml:space="preserve">Permanent Annual DS</t>
  </si>
  <si>
    <t xml:space="preserve">Note: In 4% LIHTC projects, stabilized value may be less than TDC — economics driven by tax credits, long-term cash flow, and residual asset value.</t>
  </si>
  <si>
    <t xml:space="preserve">JV WATERFALL — PARTNER RETURNS</t>
  </si>
  <si>
    <t xml:space="preserve">JV LAND EQUITY CONTRIBUTION — NET OF DEBT</t>
  </si>
  <si>
    <t xml:space="preserve">Parcel</t>
  </si>
  <si>
    <t xml:space="preserve">Est. MV</t>
  </si>
  <si>
    <t xml:space="preserve">Debt</t>
  </si>
  <si>
    <t xml:space="preserve">Net Equity</t>
  </si>
  <si>
    <t xml:space="preserve">TOTAL</t>
  </si>
  <si>
    <t xml:space="preserve">JV TERMS &amp; DISTRIBUTION WATERFALL</t>
  </si>
  <si>
    <t xml:space="preserve">Preferred Return Rate</t>
  </si>
  <si>
    <t xml:space="preserve">Annual, cumulative</t>
  </si>
  <si>
    <t xml:space="preserve">Annual Preferred ($)</t>
  </si>
  <si>
    <t xml:space="preserve">JV Partner only</t>
  </si>
  <si>
    <t xml:space="preserve">JV Partner Profit Split</t>
  </si>
  <si>
    <t xml:space="preserve">50%</t>
  </si>
  <si>
    <t xml:space="preserve">Managing Member Split</t>
  </si>
  <si>
    <t xml:space="preserve">Developer Fee</t>
  </si>
  <si>
    <t xml:space="preserve">7% of TDC — 50/50 w/ NP GP</t>
  </si>
  <si>
    <t xml:space="preserve">Managing Member Cash Equity</t>
  </si>
  <si>
    <t xml:space="preserve">$0 — LIHTC structure</t>
  </si>
  <si>
    <t xml:space="preserve">DISTRIBUTION PRIORITY</t>
  </si>
  <si>
    <t xml:space="preserve">Step 01: Return of Land Capital</t>
  </si>
  <si>
    <t xml:space="preserve">$2,576,214 — JV Partner first</t>
  </si>
  <si>
    <t xml:space="preserve">Step 02: Preferred Return (8%)</t>
  </si>
  <si>
    <t xml:space="preserve">$206,097/yr — JV Partner, cumulative</t>
  </si>
  <si>
    <t xml:space="preserve">Step 03: Preferred Catch-Up</t>
  </si>
  <si>
    <t xml:space="preserve">Any accrued unpaid preferred — JV Partner</t>
  </si>
  <si>
    <t xml:space="preserve">Step 04: Residual Profit Split</t>
  </si>
  <si>
    <t xml:space="preserve">50% JV Partner / 50% Managing Member</t>
  </si>
  <si>
    <t xml:space="preserve">CAPITAL EVENT SCENARIOS — JV PARTNER RETURNS</t>
  </si>
  <si>
    <t xml:space="preserve">All scenarios assume 2.5% annual NOI/value growth from stabilization.</t>
  </si>
  <si>
    <t xml:space="preserve">SCENARIO A: REFINANCE AT YEAR 3</t>
  </si>
  <si>
    <t xml:space="preserve">NOI at Year 3 (2.5% growth)</t>
  </si>
  <si>
    <t xml:space="preserve">Project Value (Year 3)</t>
  </si>
  <si>
    <t xml:space="preserve">Refi Loan (80% LTV)</t>
  </si>
  <si>
    <t xml:space="preserve">Less: Payoff Permanent</t>
  </si>
  <si>
    <t xml:space="preserve">Cash-Out Proceeds</t>
  </si>
  <si>
    <t xml:space="preserve">JV Partner: Return of Capital</t>
  </si>
  <si>
    <t xml:space="preserve">JV Partner: Accrued Pref (3yr)</t>
  </si>
  <si>
    <t xml:space="preserve">JV Partner: 50% of Residual</t>
  </si>
  <si>
    <t xml:space="preserve">JV PARTNER TOTAL (YEAR 3)</t>
  </si>
  <si>
    <t xml:space="preserve">SCENARIO B: SALE AT YEAR 10</t>
  </si>
  <si>
    <t xml:space="preserve">NOI at Year 10 (2.5% growth)</t>
  </si>
  <si>
    <t xml:space="preserve">Sale Price (4.5% exit cap)</t>
  </si>
  <si>
    <t xml:space="preserve">Less: Disposition Costs (3%)</t>
  </si>
  <si>
    <t xml:space="preserve">Less: Loan Payoff</t>
  </si>
  <si>
    <t xml:space="preserve">Net Sale Proceeds</t>
  </si>
  <si>
    <t xml:space="preserve">JV Partner: Cumul CF (10yr)</t>
  </si>
  <si>
    <t xml:space="preserve">JV PARTNER TOTAL RETURN</t>
  </si>
  <si>
    <t xml:space="preserve">JV Partner Equity Multiple</t>
  </si>
  <si>
    <t xml:space="preserve">STABILIZED BALANCE SHEET — JV EQUITY POSITIONS</t>
  </si>
  <si>
    <t xml:space="preserve">Day 1 Stabilized</t>
  </si>
  <si>
    <t xml:space="preserve">Year 15 (LIHTC Exit)</t>
  </si>
  <si>
    <t xml:space="preserve">Project Value</t>
  </si>
  <si>
    <t xml:space="preserve">2.5% annual growth</t>
  </si>
  <si>
    <t xml:space="preserve">Fixed — agency forward</t>
  </si>
  <si>
    <t xml:space="preserve">Project value less debt</t>
  </si>
  <si>
    <t xml:space="preserve">JV Partner Share (50%)</t>
  </si>
  <si>
    <t xml:space="preserve">Managing Member Share (50%)</t>
  </si>
  <si>
    <t xml:space="preserve">KEY BALANCE SHEET KPIs</t>
  </si>
  <si>
    <t xml:space="preserve">Net Equity — Day 1</t>
  </si>
  <si>
    <t xml:space="preserve">JV Partner Share — Day 1</t>
  </si>
  <si>
    <t xml:space="preserve">50% of day 1 equity</t>
  </si>
  <si>
    <t xml:space="preserve">Net Equity — Year 15</t>
  </si>
  <si>
    <t xml:space="preserve">GP owns asset at LIHTC exit</t>
  </si>
  <si>
    <t xml:space="preserve">JV Partner Share — Year 15</t>
  </si>
  <si>
    <t xml:space="preserve">6.2x from land contribution</t>
  </si>
  <si>
    <t xml:space="preserve">SENSITIVITY ANALYSIS — STRESS TESTING</t>
  </si>
  <si>
    <t xml:space="preserve">Key metrics under different NOI, cap rate, and construction cost scenarios. Change blue cells in Assumptions tab to update.</t>
  </si>
  <si>
    <t xml:space="preserve">TABLE 1: STABILIZED VALUE — NOI vs. CAP RATE</t>
  </si>
  <si>
    <t xml:space="preserve">NOI \ Cap Rate →</t>
  </si>
  <si>
    <t xml:space="preserve">TABLE 2: DSCR — NOI vs. PERMANENT RATE</t>
  </si>
  <si>
    <t xml:space="preserve">NOI \ Perm Rate →</t>
  </si>
  <si>
    <t xml:space="preserve">Gold = Base case.  Green = Above threshold.  Red = Below minimum policy floor.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</si>
</sst>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@"/>
    <numFmt numFmtId="167" formatCode="\$#,##0_);&quot;($&quot;#,##0\);\-"/>
    <numFmt numFmtId="168" formatCode="0.0%"/>
    <numFmt numFmtId="169" formatCode="0.00\x"/>
    <numFmt numFmtId="170" formatCode="\$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9A84C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0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2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2"/>
      <color rgb="FF008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B2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FF9900"/>
      </patternFill>
    </fill>
    <fill>
      <patternFill patternType="solid">
        <fgColor rgb="FFF5F0E8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5F0E8"/>
      </patternFill>
    </fill>
    <fill>
      <patternFill patternType="solid">
        <fgColor rgb="FFFFE0E0"/>
        <bgColor rgb="FFF5F0E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8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2" hidden="false" customHeight="true" outlineLevel="0" collapsed="false"/>
    <row r="6" customFormat="false" ht="31.5" hidden="false" customHeight="true" outlineLevel="0" collapsed="false">
      <c r="B6" s="5" t="s">
        <v>3</v>
      </c>
      <c r="C6" s="5"/>
      <c r="D6" s="5" t="s">
        <v>4</v>
      </c>
      <c r="E6" s="5"/>
      <c r="F6" s="5" t="s">
        <v>5</v>
      </c>
      <c r="G6" s="5"/>
    </row>
    <row r="7" customFormat="false" ht="15.75" hidden="false" customHeight="true" outlineLevel="0" collapsed="false">
      <c r="B7" s="6" t="s">
        <v>6</v>
      </c>
      <c r="C7" s="6"/>
      <c r="D7" s="6" t="s">
        <v>7</v>
      </c>
      <c r="E7" s="6"/>
      <c r="F7" s="6" t="s">
        <v>8</v>
      </c>
      <c r="G7" s="6"/>
    </row>
    <row r="8" customFormat="false" ht="12" hidden="false" customHeight="true" outlineLevel="0" collapsed="false"/>
    <row r="9" customFormat="false" ht="19.5" hidden="false" customHeight="true" outlineLevel="0" collapsed="false">
      <c r="B9" s="7" t="s">
        <v>9</v>
      </c>
      <c r="C9" s="7"/>
      <c r="D9" s="7"/>
      <c r="E9" s="7"/>
      <c r="F9" s="7"/>
      <c r="G9" s="7"/>
    </row>
    <row r="10" customFormat="false" ht="15.75" hidden="false" customHeight="true" outlineLevel="0" collapsed="false">
      <c r="B10" s="8" t="s">
        <v>10</v>
      </c>
      <c r="C10" s="9" t="s">
        <v>11</v>
      </c>
      <c r="D10" s="9"/>
      <c r="E10" s="9"/>
      <c r="F10" s="9"/>
      <c r="G10" s="9"/>
    </row>
    <row r="11" customFormat="false" ht="15.75" hidden="false" customHeight="true" outlineLevel="0" collapsed="false">
      <c r="B11" s="8" t="s">
        <v>12</v>
      </c>
      <c r="C11" s="9" t="s">
        <v>13</v>
      </c>
      <c r="D11" s="9"/>
      <c r="E11" s="9"/>
      <c r="F11" s="9"/>
      <c r="G11" s="9"/>
    </row>
    <row r="12" customFormat="false" ht="15.75" hidden="false" customHeight="true" outlineLevel="0" collapsed="false">
      <c r="B12" s="8" t="s">
        <v>14</v>
      </c>
      <c r="C12" s="9" t="s">
        <v>15</v>
      </c>
      <c r="D12" s="9"/>
      <c r="E12" s="9"/>
      <c r="F12" s="9"/>
      <c r="G12" s="9"/>
    </row>
    <row r="13" customFormat="false" ht="15.75" hidden="false" customHeight="true" outlineLevel="0" collapsed="false">
      <c r="B13" s="8" t="s">
        <v>16</v>
      </c>
      <c r="C13" s="9" t="s">
        <v>17</v>
      </c>
      <c r="D13" s="9"/>
      <c r="E13" s="9"/>
      <c r="F13" s="9"/>
      <c r="G13" s="9"/>
    </row>
    <row r="14" customFormat="false" ht="15.75" hidden="false" customHeight="true" outlineLevel="0" collapsed="false">
      <c r="B14" s="8" t="s">
        <v>18</v>
      </c>
      <c r="C14" s="9" t="s">
        <v>19</v>
      </c>
      <c r="D14" s="9"/>
      <c r="E14" s="9"/>
      <c r="F14" s="9"/>
      <c r="G14" s="9"/>
    </row>
    <row r="15" customFormat="false" ht="15.75" hidden="false" customHeight="true" outlineLevel="0" collapsed="false">
      <c r="B15" s="8" t="s">
        <v>20</v>
      </c>
      <c r="C15" s="9" t="s">
        <v>21</v>
      </c>
      <c r="D15" s="9"/>
      <c r="E15" s="9"/>
      <c r="F15" s="9"/>
      <c r="G15" s="9"/>
    </row>
    <row r="16" customFormat="false" ht="15.75" hidden="false" customHeight="true" outlineLevel="0" collapsed="false">
      <c r="B16" s="8" t="s">
        <v>22</v>
      </c>
      <c r="C16" s="9" t="s">
        <v>23</v>
      </c>
      <c r="D16" s="9"/>
      <c r="E16" s="9"/>
      <c r="F16" s="9"/>
      <c r="G16" s="9"/>
    </row>
    <row r="17" customFormat="false" ht="15.75" hidden="false" customHeight="true" outlineLevel="0" collapsed="false">
      <c r="B17" s="8" t="s">
        <v>24</v>
      </c>
      <c r="C17" s="9" t="s">
        <v>25</v>
      </c>
      <c r="D17" s="9"/>
      <c r="E17" s="9"/>
      <c r="F17" s="9"/>
      <c r="G17" s="9"/>
    </row>
    <row r="20" customFormat="false" ht="15" hidden="false" customHeight="true" outlineLevel="0" collapsed="false">
      <c r="B20" s="10" t="s">
        <v>26</v>
      </c>
      <c r="C20" s="10"/>
      <c r="D20" s="10"/>
      <c r="E20" s="10"/>
      <c r="F20" s="10"/>
      <c r="G20" s="10"/>
    </row>
    <row r="22" customFormat="false" ht="19.5" hidden="false" customHeight="true" outlineLevel="0" collapsed="false">
      <c r="B22" s="7" t="s">
        <v>27</v>
      </c>
      <c r="C22" s="7"/>
      <c r="D22" s="7"/>
      <c r="E22" s="7"/>
      <c r="F22" s="7"/>
      <c r="G22" s="7"/>
    </row>
    <row r="23" customFormat="false" ht="15" hidden="false" customHeight="true" outlineLevel="0" collapsed="false">
      <c r="B23" s="11" t="s">
        <v>28</v>
      </c>
      <c r="C23" s="12" t="s">
        <v>29</v>
      </c>
      <c r="D23" s="12"/>
      <c r="E23" s="12"/>
      <c r="F23" s="12"/>
      <c r="G23" s="12"/>
    </row>
    <row r="24" customFormat="false" ht="15" hidden="false" customHeight="true" outlineLevel="0" collapsed="false">
      <c r="B24" s="13" t="s">
        <v>28</v>
      </c>
      <c r="C24" s="12" t="s">
        <v>30</v>
      </c>
      <c r="D24" s="12"/>
      <c r="E24" s="12"/>
      <c r="F24" s="12"/>
      <c r="G24" s="12"/>
    </row>
    <row r="25" customFormat="false" ht="15" hidden="false" customHeight="true" outlineLevel="0" collapsed="false">
      <c r="B25" s="14" t="s">
        <v>28</v>
      </c>
      <c r="C25" s="12" t="s">
        <v>31</v>
      </c>
      <c r="D25" s="12"/>
      <c r="E25" s="12"/>
      <c r="F25" s="12"/>
      <c r="G25" s="12"/>
    </row>
    <row r="26" customFormat="false" ht="15" hidden="false" customHeight="true" outlineLevel="0" collapsed="false">
      <c r="B26" s="15" t="s">
        <v>28</v>
      </c>
      <c r="C26" s="12" t="s">
        <v>32</v>
      </c>
      <c r="D26" s="12"/>
      <c r="E26" s="12"/>
      <c r="F26" s="12"/>
      <c r="G26" s="12"/>
    </row>
  </sheetData>
  <mergeCells count="24">
    <mergeCell ref="B2:G2"/>
    <mergeCell ref="B3:G3"/>
    <mergeCell ref="B4:G4"/>
    <mergeCell ref="B6:C6"/>
    <mergeCell ref="D6:E6"/>
    <mergeCell ref="F6:G6"/>
    <mergeCell ref="B7:C7"/>
    <mergeCell ref="D7:E7"/>
    <mergeCell ref="F7:G7"/>
    <mergeCell ref="B9:G9"/>
    <mergeCell ref="C10:G10"/>
    <mergeCell ref="C11:G11"/>
    <mergeCell ref="C12:G12"/>
    <mergeCell ref="C13:G13"/>
    <mergeCell ref="C14:G14"/>
    <mergeCell ref="C15:G15"/>
    <mergeCell ref="C16:G16"/>
    <mergeCell ref="C17:G17"/>
    <mergeCell ref="B20:G20"/>
    <mergeCell ref="B22:G22"/>
    <mergeCell ref="C23:G23"/>
    <mergeCell ref="C24:G24"/>
    <mergeCell ref="C25:G25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2"/>
  </cols>
  <sheetData>
    <row r="1" customFormat="false" ht="19.5" hidden="false" customHeight="true" outlineLevel="0" collapsed="false">
      <c r="B1" s="7" t="s">
        <v>33</v>
      </c>
      <c r="C1" s="7"/>
      <c r="D1" s="7"/>
      <c r="E1" s="7"/>
    </row>
    <row r="2" customFormat="false" ht="6" hidden="false" customHeight="true" outlineLevel="0" collapsed="false"/>
    <row r="3" customFormat="false" ht="15" hidden="false" customHeight="true" outlineLevel="0" collapsed="false">
      <c r="B3" s="16" t="s">
        <v>34</v>
      </c>
      <c r="C3" s="16"/>
      <c r="D3" s="16"/>
      <c r="E3" s="16"/>
    </row>
    <row r="4" customFormat="false" ht="15.75" hidden="false" customHeight="true" outlineLevel="0" collapsed="false">
      <c r="B4" s="17" t="s">
        <v>7</v>
      </c>
      <c r="C4" s="18" t="n">
        <v>140</v>
      </c>
      <c r="D4" s="19" t="s">
        <v>35</v>
      </c>
      <c r="E4" s="19"/>
    </row>
    <row r="5" customFormat="false" ht="15.75" hidden="false" customHeight="true" outlineLevel="0" collapsed="false">
      <c r="B5" s="17" t="s">
        <v>36</v>
      </c>
      <c r="C5" s="18" t="n">
        <v>100</v>
      </c>
      <c r="D5" s="20"/>
    </row>
    <row r="6" customFormat="false" ht="15.75" hidden="false" customHeight="true" outlineLevel="0" collapsed="false">
      <c r="B6" s="17" t="s">
        <v>37</v>
      </c>
      <c r="C6" s="18" t="n">
        <v>40</v>
      </c>
      <c r="D6" s="19" t="s">
        <v>38</v>
      </c>
      <c r="E6" s="19"/>
    </row>
    <row r="7" customFormat="false" ht="15.75" hidden="false" customHeight="true" outlineLevel="0" collapsed="false">
      <c r="B7" s="17" t="s">
        <v>39</v>
      </c>
      <c r="C7" s="18" t="n">
        <v>2000</v>
      </c>
      <c r="D7" s="19" t="s">
        <v>40</v>
      </c>
      <c r="E7" s="19"/>
    </row>
    <row r="8" customFormat="false" ht="15.75" hidden="false" customHeight="true" outlineLevel="0" collapsed="false">
      <c r="B8" s="17" t="s">
        <v>41</v>
      </c>
      <c r="C8" s="21" t="s">
        <v>42</v>
      </c>
      <c r="D8" s="20"/>
    </row>
    <row r="9" customFormat="false" ht="15.75" hidden="false" customHeight="true" outlineLevel="0" collapsed="false">
      <c r="B9" s="17" t="s">
        <v>43</v>
      </c>
      <c r="C9" s="21" t="s">
        <v>44</v>
      </c>
      <c r="D9" s="19" t="s">
        <v>45</v>
      </c>
      <c r="E9" s="19"/>
    </row>
    <row r="10" customFormat="false" ht="15.75" hidden="false" customHeight="true" outlineLevel="0" collapsed="false">
      <c r="B10" s="17" t="s">
        <v>46</v>
      </c>
      <c r="C10" s="18" t="n">
        <v>36</v>
      </c>
      <c r="D10" s="20"/>
    </row>
    <row r="11" customFormat="false" ht="15.75" hidden="false" customHeight="true" outlineLevel="0" collapsed="false">
      <c r="B11" s="17" t="s">
        <v>47</v>
      </c>
      <c r="C11" s="18" t="n">
        <v>42</v>
      </c>
      <c r="D11" s="20"/>
    </row>
    <row r="12" customFormat="false" ht="6" hidden="false" customHeight="true" outlineLevel="0" collapsed="false"/>
    <row r="13" customFormat="false" ht="15" hidden="false" customHeight="true" outlineLevel="0" collapsed="false">
      <c r="B13" s="16" t="s">
        <v>48</v>
      </c>
      <c r="C13" s="16"/>
      <c r="D13" s="16"/>
      <c r="E13" s="16"/>
    </row>
    <row r="14" customFormat="false" ht="15.75" hidden="false" customHeight="true" outlineLevel="0" collapsed="false">
      <c r="B14" s="17" t="s">
        <v>49</v>
      </c>
      <c r="C14" s="22" t="n">
        <v>1200000</v>
      </c>
      <c r="D14" s="19" t="s">
        <v>50</v>
      </c>
      <c r="E14" s="19"/>
    </row>
    <row r="15" customFormat="false" ht="15.75" hidden="false" customHeight="true" outlineLevel="0" collapsed="false">
      <c r="B15" s="17" t="s">
        <v>51</v>
      </c>
      <c r="C15" s="22" t="n">
        <v>3796214</v>
      </c>
      <c r="D15" s="19" t="s">
        <v>52</v>
      </c>
      <c r="E15" s="19"/>
    </row>
    <row r="16" customFormat="false" ht="15.75" hidden="false" customHeight="true" outlineLevel="0" collapsed="false">
      <c r="B16" s="17" t="s">
        <v>53</v>
      </c>
      <c r="C16" s="22" t="n">
        <v>2420000</v>
      </c>
      <c r="D16" s="19" t="s">
        <v>54</v>
      </c>
      <c r="E16" s="19"/>
    </row>
    <row r="17" customFormat="false" ht="15.75" hidden="false" customHeight="true" outlineLevel="0" collapsed="false">
      <c r="B17" s="17" t="s">
        <v>55</v>
      </c>
      <c r="C17" s="22" t="n">
        <v>114780</v>
      </c>
      <c r="D17" s="19" t="s">
        <v>56</v>
      </c>
      <c r="E17" s="19"/>
    </row>
    <row r="18" customFormat="false" ht="15.75" hidden="false" customHeight="true" outlineLevel="0" collapsed="false">
      <c r="B18" s="17" t="s">
        <v>57</v>
      </c>
      <c r="C18" s="22" t="n">
        <v>114780</v>
      </c>
      <c r="D18" s="19" t="s">
        <v>56</v>
      </c>
      <c r="E18" s="19"/>
    </row>
    <row r="19" customFormat="false" ht="6" hidden="false" customHeight="true" outlineLevel="0" collapsed="false"/>
    <row r="20" customFormat="false" ht="15" hidden="false" customHeight="true" outlineLevel="0" collapsed="false">
      <c r="B20" s="16" t="s">
        <v>58</v>
      </c>
      <c r="C20" s="16"/>
      <c r="D20" s="16"/>
      <c r="E20" s="16"/>
    </row>
    <row r="21" customFormat="false" ht="15.75" hidden="false" customHeight="true" outlineLevel="0" collapsed="false">
      <c r="B21" s="17" t="s">
        <v>59</v>
      </c>
      <c r="C21" s="22" t="n">
        <v>310000</v>
      </c>
      <c r="D21" s="19" t="s">
        <v>60</v>
      </c>
      <c r="E21" s="19"/>
    </row>
    <row r="22" customFormat="false" ht="15.75" hidden="false" customHeight="true" outlineLevel="0" collapsed="false">
      <c r="B22" s="17" t="s">
        <v>61</v>
      </c>
      <c r="C22" s="22" t="n">
        <v>270000</v>
      </c>
      <c r="D22" s="19" t="s">
        <v>62</v>
      </c>
      <c r="E22" s="19"/>
    </row>
    <row r="23" customFormat="false" ht="15.75" hidden="false" customHeight="true" outlineLevel="0" collapsed="false">
      <c r="B23" s="17" t="s">
        <v>63</v>
      </c>
      <c r="C23" s="22" t="n">
        <v>1500000</v>
      </c>
      <c r="D23" s="19" t="s">
        <v>64</v>
      </c>
      <c r="E23" s="19"/>
    </row>
    <row r="24" customFormat="false" ht="15.75" hidden="false" customHeight="true" outlineLevel="0" collapsed="false">
      <c r="B24" s="17" t="s">
        <v>65</v>
      </c>
      <c r="C24" s="22" t="n">
        <v>3450000</v>
      </c>
      <c r="D24" s="19" t="s">
        <v>66</v>
      </c>
      <c r="E24" s="19"/>
    </row>
    <row r="25" customFormat="false" ht="15.75" hidden="false" customHeight="true" outlineLevel="0" collapsed="false">
      <c r="B25" s="17" t="s">
        <v>67</v>
      </c>
      <c r="C25" s="23" t="n">
        <v>0.05</v>
      </c>
      <c r="D25" s="19" t="s">
        <v>68</v>
      </c>
      <c r="E25" s="19"/>
    </row>
    <row r="26" customFormat="false" ht="15.75" hidden="false" customHeight="true" outlineLevel="0" collapsed="false">
      <c r="B26" s="17" t="s">
        <v>69</v>
      </c>
      <c r="C26" s="23" t="n">
        <v>0.07</v>
      </c>
      <c r="D26" s="19" t="s">
        <v>70</v>
      </c>
      <c r="E26" s="19"/>
    </row>
    <row r="27" customFormat="false" ht="6" hidden="false" customHeight="true" outlineLevel="0" collapsed="false"/>
    <row r="28" customFormat="false" ht="15" hidden="false" customHeight="true" outlineLevel="0" collapsed="false">
      <c r="B28" s="16" t="s">
        <v>71</v>
      </c>
      <c r="C28" s="16"/>
      <c r="D28" s="16"/>
      <c r="E28" s="16"/>
    </row>
    <row r="29" customFormat="false" ht="15.75" hidden="false" customHeight="true" outlineLevel="0" collapsed="false">
      <c r="B29" s="17" t="s">
        <v>72</v>
      </c>
      <c r="C29" s="23" t="n">
        <v>0.055</v>
      </c>
      <c r="D29" s="19" t="s">
        <v>73</v>
      </c>
      <c r="E29" s="19"/>
    </row>
    <row r="30" customFormat="false" ht="15.75" hidden="false" customHeight="true" outlineLevel="0" collapsed="false">
      <c r="B30" s="17" t="s">
        <v>46</v>
      </c>
      <c r="C30" s="18" t="n">
        <v>36</v>
      </c>
      <c r="D30" s="20"/>
    </row>
    <row r="31" customFormat="false" ht="15.75" hidden="false" customHeight="true" outlineLevel="0" collapsed="false">
      <c r="B31" s="17" t="s">
        <v>74</v>
      </c>
      <c r="C31" s="23" t="n">
        <v>0.5</v>
      </c>
      <c r="D31" s="19" t="s">
        <v>75</v>
      </c>
      <c r="E31" s="19"/>
    </row>
    <row r="32" customFormat="false" ht="15.75" hidden="false" customHeight="true" outlineLevel="0" collapsed="false">
      <c r="B32" s="17" t="s">
        <v>76</v>
      </c>
      <c r="C32" s="23" t="n">
        <v>0.015</v>
      </c>
      <c r="D32" s="19" t="s">
        <v>77</v>
      </c>
      <c r="E32" s="19"/>
    </row>
    <row r="33" customFormat="false" ht="15.75" hidden="false" customHeight="true" outlineLevel="0" collapsed="false">
      <c r="B33" s="17" t="s">
        <v>78</v>
      </c>
      <c r="C33" s="23" t="n">
        <v>0.01</v>
      </c>
      <c r="D33" s="19" t="s">
        <v>79</v>
      </c>
      <c r="E33" s="19"/>
    </row>
    <row r="34" customFormat="false" ht="15.75" hidden="false" customHeight="true" outlineLevel="0" collapsed="false">
      <c r="B34" s="17" t="s">
        <v>80</v>
      </c>
      <c r="C34" s="22" t="n">
        <v>75000</v>
      </c>
      <c r="D34" s="19" t="s">
        <v>81</v>
      </c>
      <c r="E34" s="19"/>
    </row>
    <row r="35" customFormat="false" ht="15.75" hidden="false" customHeight="true" outlineLevel="0" collapsed="false">
      <c r="B35" s="17" t="s">
        <v>82</v>
      </c>
      <c r="C35" s="23" t="n">
        <v>0.8</v>
      </c>
      <c r="D35" s="19" t="s">
        <v>83</v>
      </c>
      <c r="E35" s="19"/>
    </row>
    <row r="36" customFormat="false" ht="15.75" hidden="false" customHeight="true" outlineLevel="0" collapsed="false">
      <c r="B36" s="17" t="s">
        <v>84</v>
      </c>
      <c r="C36" s="23" t="n">
        <v>0.65</v>
      </c>
      <c r="D36" s="19" t="s">
        <v>85</v>
      </c>
      <c r="E36" s="19"/>
    </row>
    <row r="37" customFormat="false" ht="6" hidden="false" customHeight="true" outlineLevel="0" collapsed="false"/>
    <row r="38" customFormat="false" ht="15" hidden="false" customHeight="true" outlineLevel="0" collapsed="false">
      <c r="B38" s="16" t="s">
        <v>86</v>
      </c>
      <c r="C38" s="16"/>
      <c r="D38" s="16"/>
      <c r="E38" s="16"/>
    </row>
    <row r="39" customFormat="false" ht="15.75" hidden="false" customHeight="true" outlineLevel="0" collapsed="false">
      <c r="B39" s="17" t="s">
        <v>87</v>
      </c>
      <c r="C39" s="23" t="n">
        <v>0.045</v>
      </c>
      <c r="D39" s="19" t="s">
        <v>88</v>
      </c>
      <c r="E39" s="19"/>
    </row>
    <row r="40" customFormat="false" ht="15.75" hidden="false" customHeight="true" outlineLevel="0" collapsed="false">
      <c r="B40" s="17" t="s">
        <v>89</v>
      </c>
      <c r="C40" s="18" t="n">
        <v>35</v>
      </c>
      <c r="D40" s="19" t="s">
        <v>90</v>
      </c>
      <c r="E40" s="19"/>
    </row>
    <row r="41" customFormat="false" ht="15.75" hidden="false" customHeight="true" outlineLevel="0" collapsed="false">
      <c r="B41" s="17" t="s">
        <v>91</v>
      </c>
      <c r="C41" s="18" t="n">
        <v>35</v>
      </c>
      <c r="D41" s="19" t="s">
        <v>92</v>
      </c>
      <c r="E41" s="19"/>
    </row>
    <row r="42" customFormat="false" ht="15.75" hidden="false" customHeight="true" outlineLevel="0" collapsed="false">
      <c r="B42" s="17" t="s">
        <v>93</v>
      </c>
      <c r="C42" s="24" t="n">
        <v>1.15</v>
      </c>
      <c r="D42" s="20"/>
    </row>
    <row r="43" customFormat="false" ht="6" hidden="false" customHeight="true" outlineLevel="0" collapsed="false"/>
    <row r="44" customFormat="false" ht="15" hidden="false" customHeight="true" outlineLevel="0" collapsed="false">
      <c r="B44" s="16" t="s">
        <v>94</v>
      </c>
      <c r="C44" s="16"/>
      <c r="D44" s="16"/>
      <c r="E44" s="16"/>
    </row>
    <row r="45" customFormat="false" ht="15.75" hidden="false" customHeight="true" outlineLevel="0" collapsed="false">
      <c r="B45" s="17" t="s">
        <v>95</v>
      </c>
      <c r="C45" s="22" t="n">
        <v>55303745</v>
      </c>
      <c r="D45" s="20"/>
    </row>
    <row r="46" customFormat="false" ht="15.75" hidden="false" customHeight="true" outlineLevel="0" collapsed="false">
      <c r="B46" s="17" t="s">
        <v>96</v>
      </c>
      <c r="C46" s="23" t="n">
        <v>1.3</v>
      </c>
      <c r="D46" s="19" t="s">
        <v>97</v>
      </c>
      <c r="E46" s="19"/>
    </row>
    <row r="47" customFormat="false" ht="15.75" hidden="false" customHeight="true" outlineLevel="0" collapsed="false">
      <c r="B47" s="17" t="s">
        <v>98</v>
      </c>
      <c r="C47" s="23" t="n">
        <v>0.04</v>
      </c>
      <c r="D47" s="19" t="s">
        <v>99</v>
      </c>
      <c r="E47" s="19"/>
    </row>
    <row r="48" customFormat="false" ht="15.75" hidden="false" customHeight="true" outlineLevel="0" collapsed="false">
      <c r="B48" s="17" t="s">
        <v>100</v>
      </c>
      <c r="C48" s="18" t="n">
        <v>10</v>
      </c>
      <c r="D48" s="20"/>
    </row>
    <row r="49" customFormat="false" ht="15.75" hidden="false" customHeight="true" outlineLevel="0" collapsed="false">
      <c r="B49" s="17" t="s">
        <v>101</v>
      </c>
      <c r="C49" s="25" t="n">
        <v>0.92</v>
      </c>
      <c r="D49" s="19" t="s">
        <v>102</v>
      </c>
      <c r="E49" s="19"/>
    </row>
    <row r="50" customFormat="false" ht="6" hidden="false" customHeight="true" outlineLevel="0" collapsed="false"/>
    <row r="51" customFormat="false" ht="15" hidden="false" customHeight="true" outlineLevel="0" collapsed="false">
      <c r="B51" s="16" t="s">
        <v>103</v>
      </c>
      <c r="C51" s="16"/>
      <c r="D51" s="16"/>
      <c r="E51" s="16"/>
    </row>
    <row r="52" customFormat="false" ht="15.75" hidden="false" customHeight="true" outlineLevel="0" collapsed="false">
      <c r="B52" s="17" t="s">
        <v>104</v>
      </c>
      <c r="C52" s="25" t="n">
        <v>1800</v>
      </c>
      <c r="D52" s="19" t="s">
        <v>105</v>
      </c>
      <c r="E52" s="19"/>
    </row>
    <row r="53" customFormat="false" ht="15.75" hidden="false" customHeight="true" outlineLevel="0" collapsed="false">
      <c r="B53" s="17" t="s">
        <v>106</v>
      </c>
      <c r="C53" s="25" t="n">
        <v>2200</v>
      </c>
      <c r="D53" s="19" t="s">
        <v>107</v>
      </c>
      <c r="E53" s="19"/>
    </row>
    <row r="54" customFormat="false" ht="15.75" hidden="false" customHeight="true" outlineLevel="0" collapsed="false">
      <c r="B54" s="17" t="s">
        <v>108</v>
      </c>
      <c r="C54" s="25" t="n">
        <v>2900</v>
      </c>
      <c r="D54" s="19" t="s">
        <v>109</v>
      </c>
      <c r="E54" s="19"/>
    </row>
    <row r="55" customFormat="false" ht="15.75" hidden="false" customHeight="true" outlineLevel="0" collapsed="false">
      <c r="B55" s="17" t="s">
        <v>110</v>
      </c>
      <c r="C55" s="25" t="n">
        <v>3400</v>
      </c>
      <c r="D55" s="19" t="s">
        <v>111</v>
      </c>
      <c r="E55" s="19"/>
    </row>
    <row r="56" customFormat="false" ht="15.75" hidden="false" customHeight="true" outlineLevel="0" collapsed="false">
      <c r="B56" s="17" t="s">
        <v>112</v>
      </c>
      <c r="C56" s="23" t="n">
        <v>0.05</v>
      </c>
      <c r="D56" s="19" t="s">
        <v>113</v>
      </c>
      <c r="E56" s="19"/>
    </row>
    <row r="57" customFormat="false" ht="15.75" hidden="false" customHeight="true" outlineLevel="0" collapsed="false">
      <c r="B57" s="17" t="s">
        <v>114</v>
      </c>
      <c r="C57" s="22" t="n">
        <v>153408</v>
      </c>
      <c r="D57" s="19" t="s">
        <v>115</v>
      </c>
      <c r="E57" s="19"/>
    </row>
    <row r="58" customFormat="false" ht="15.75" hidden="false" customHeight="true" outlineLevel="0" collapsed="false">
      <c r="B58" s="17" t="s">
        <v>116</v>
      </c>
      <c r="C58" s="23" t="n">
        <v>0.35</v>
      </c>
      <c r="D58" s="19" t="s">
        <v>117</v>
      </c>
      <c r="E58" s="19"/>
    </row>
    <row r="59" customFormat="false" ht="6" hidden="false" customHeight="true" outlineLevel="0" collapsed="false"/>
    <row r="60" customFormat="false" ht="15" hidden="false" customHeight="true" outlineLevel="0" collapsed="false">
      <c r="B60" s="16" t="s">
        <v>118</v>
      </c>
      <c r="C60" s="16"/>
      <c r="D60" s="16"/>
      <c r="E60" s="16"/>
    </row>
    <row r="61" customFormat="false" ht="15.75" hidden="false" customHeight="true" outlineLevel="0" collapsed="false">
      <c r="B61" s="17" t="s">
        <v>119</v>
      </c>
      <c r="C61" s="23" t="n">
        <v>0.0425</v>
      </c>
      <c r="D61" s="19" t="s">
        <v>120</v>
      </c>
      <c r="E61" s="19"/>
    </row>
    <row r="62" customFormat="false" ht="15.75" hidden="false" customHeight="true" outlineLevel="0" collapsed="false">
      <c r="B62" s="17" t="s">
        <v>121</v>
      </c>
      <c r="C62" s="23" t="n">
        <v>0.045</v>
      </c>
      <c r="D62" s="19" t="s">
        <v>122</v>
      </c>
      <c r="E62" s="19"/>
    </row>
    <row r="63" customFormat="false" ht="15.75" hidden="false" customHeight="true" outlineLevel="0" collapsed="false">
      <c r="B63" s="17" t="s">
        <v>123</v>
      </c>
      <c r="C63" s="23" t="n">
        <v>0.025</v>
      </c>
      <c r="D63" s="19" t="s">
        <v>124</v>
      </c>
      <c r="E63" s="19"/>
    </row>
    <row r="64" customFormat="false" ht="15.75" hidden="false" customHeight="true" outlineLevel="0" collapsed="false">
      <c r="B64" s="17" t="s">
        <v>125</v>
      </c>
      <c r="C64" s="23" t="n">
        <v>0.08</v>
      </c>
      <c r="D64" s="19" t="s">
        <v>126</v>
      </c>
      <c r="E64" s="19"/>
    </row>
    <row r="65" customFormat="false" ht="15.75" hidden="false" customHeight="true" outlineLevel="0" collapsed="false">
      <c r="B65" s="17" t="s">
        <v>127</v>
      </c>
      <c r="C65" s="23" t="n">
        <v>0.5</v>
      </c>
      <c r="D65" s="19" t="s">
        <v>128</v>
      </c>
      <c r="E65" s="19"/>
    </row>
    <row r="66" customFormat="false" ht="15.75" hidden="false" customHeight="true" outlineLevel="0" collapsed="false">
      <c r="B66" s="17" t="s">
        <v>129</v>
      </c>
      <c r="C66" s="23" t="n">
        <v>0.03</v>
      </c>
      <c r="D66" s="19" t="s">
        <v>130</v>
      </c>
      <c r="E66" s="19"/>
    </row>
    <row r="67" customFormat="false" ht="15.75" hidden="false" customHeight="true" outlineLevel="0" collapsed="false">
      <c r="B67" s="17" t="s">
        <v>131</v>
      </c>
      <c r="C67" s="23" t="n">
        <v>0.8</v>
      </c>
      <c r="D67" s="19" t="s">
        <v>132</v>
      </c>
      <c r="E67" s="19"/>
    </row>
    <row r="69" customFormat="false" ht="15" hidden="false" customHeight="true" outlineLevel="0" collapsed="false">
      <c r="B69" s="26" t="s">
        <v>133</v>
      </c>
      <c r="C69" s="26"/>
      <c r="D69" s="26"/>
      <c r="E69" s="26"/>
    </row>
  </sheetData>
  <mergeCells count="52">
    <mergeCell ref="B1:E1"/>
    <mergeCell ref="B3:E3"/>
    <mergeCell ref="D4:E4"/>
    <mergeCell ref="D6:E6"/>
    <mergeCell ref="D7:E7"/>
    <mergeCell ref="D9:E9"/>
    <mergeCell ref="B13:E13"/>
    <mergeCell ref="D14:E14"/>
    <mergeCell ref="D15:E15"/>
    <mergeCell ref="D16:E16"/>
    <mergeCell ref="D17:E17"/>
    <mergeCell ref="D18:E18"/>
    <mergeCell ref="B20:E20"/>
    <mergeCell ref="D21:E21"/>
    <mergeCell ref="D22:E22"/>
    <mergeCell ref="D23:E23"/>
    <mergeCell ref="D24:E24"/>
    <mergeCell ref="D25:E25"/>
    <mergeCell ref="D26:E26"/>
    <mergeCell ref="B28:E28"/>
    <mergeCell ref="D29:E29"/>
    <mergeCell ref="D31:E31"/>
    <mergeCell ref="D32:E32"/>
    <mergeCell ref="D33:E33"/>
    <mergeCell ref="D34:E34"/>
    <mergeCell ref="D35:E35"/>
    <mergeCell ref="D36:E36"/>
    <mergeCell ref="B38:E38"/>
    <mergeCell ref="D39:E39"/>
    <mergeCell ref="D40:E40"/>
    <mergeCell ref="D41:E41"/>
    <mergeCell ref="B44:E44"/>
    <mergeCell ref="D46:E46"/>
    <mergeCell ref="D47:E47"/>
    <mergeCell ref="D49:E49"/>
    <mergeCell ref="B51:E51"/>
    <mergeCell ref="D52:E52"/>
    <mergeCell ref="D53:E53"/>
    <mergeCell ref="D54:E54"/>
    <mergeCell ref="D55:E55"/>
    <mergeCell ref="D56:E56"/>
    <mergeCell ref="D57:E57"/>
    <mergeCell ref="D58:E58"/>
    <mergeCell ref="B60:E60"/>
    <mergeCell ref="D61:E61"/>
    <mergeCell ref="D62:E62"/>
    <mergeCell ref="D63:E63"/>
    <mergeCell ref="D64:E64"/>
    <mergeCell ref="D65:E65"/>
    <mergeCell ref="D66:E66"/>
    <mergeCell ref="D67:E67"/>
    <mergeCell ref="B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19.5" hidden="false" customHeight="true" outlineLevel="0" collapsed="false">
      <c r="B1" s="7" t="s">
        <v>134</v>
      </c>
      <c r="C1" s="7"/>
      <c r="D1" s="7"/>
      <c r="E1" s="7"/>
      <c r="F1" s="7"/>
    </row>
    <row r="2" customFormat="false" ht="15.75" hidden="false" customHeight="true" outlineLevel="0" collapsed="false">
      <c r="B2" s="27" t="s">
        <v>135</v>
      </c>
      <c r="C2" s="27" t="s">
        <v>136</v>
      </c>
      <c r="D2" s="27" t="s">
        <v>137</v>
      </c>
      <c r="E2" s="27" t="s">
        <v>138</v>
      </c>
      <c r="F2" s="27" t="s">
        <v>139</v>
      </c>
    </row>
    <row r="3" customFormat="false" ht="15.75" hidden="false" customHeight="true" outlineLevel="0" collapsed="false">
      <c r="B3" s="16" t="s">
        <v>140</v>
      </c>
      <c r="C3" s="16"/>
      <c r="D3" s="16"/>
      <c r="E3" s="16"/>
      <c r="F3" s="16"/>
    </row>
    <row r="4" customFormat="false" ht="15.75" hidden="false" customHeight="true" outlineLevel="0" collapsed="false">
      <c r="B4" s="28" t="s">
        <v>141</v>
      </c>
      <c r="C4" s="29" t="n">
        <v>5213360</v>
      </c>
      <c r="D4" s="30"/>
      <c r="E4" s="31" t="n">
        <f aca="false">IFERROR(C4/140,"")</f>
        <v>37238.2857142857</v>
      </c>
      <c r="F4" s="32" t="s">
        <v>142</v>
      </c>
    </row>
    <row r="5" customFormat="false" ht="15.75" hidden="false" customHeight="true" outlineLevel="0" collapsed="false">
      <c r="B5" s="32" t="s">
        <v>143</v>
      </c>
      <c r="C5" s="29" t="n">
        <v>1200000</v>
      </c>
      <c r="D5" s="30"/>
      <c r="E5" s="31" t="n">
        <f aca="false">IFERROR(C5/140,"")</f>
        <v>8571.42857142857</v>
      </c>
      <c r="F5" s="32" t="s">
        <v>144</v>
      </c>
    </row>
    <row r="6" customFormat="false" ht="15.75" hidden="false" customHeight="true" outlineLevel="0" collapsed="false">
      <c r="B6" s="32" t="s">
        <v>145</v>
      </c>
      <c r="C6" s="29" t="n">
        <v>1376214</v>
      </c>
      <c r="D6" s="30"/>
      <c r="E6" s="31" t="n">
        <f aca="false">IFERROR(C6/140,"")</f>
        <v>9830.1</v>
      </c>
      <c r="F6" s="32" t="s">
        <v>146</v>
      </c>
    </row>
    <row r="7" customFormat="false" ht="15.75" hidden="false" customHeight="true" outlineLevel="0" collapsed="false">
      <c r="B7" s="32" t="s">
        <v>147</v>
      </c>
      <c r="C7" s="29" t="n">
        <v>114780</v>
      </c>
      <c r="D7" s="30"/>
      <c r="E7" s="31" t="n">
        <f aca="false">IFERROR(C7/140,"")</f>
        <v>819.857142857143</v>
      </c>
      <c r="F7" s="32" t="s">
        <v>56</v>
      </c>
    </row>
    <row r="8" customFormat="false" ht="15.75" hidden="false" customHeight="true" outlineLevel="0" collapsed="false">
      <c r="B8" s="32" t="s">
        <v>148</v>
      </c>
      <c r="C8" s="29" t="n">
        <v>114780</v>
      </c>
      <c r="D8" s="30"/>
      <c r="E8" s="31" t="n">
        <f aca="false">IFERROR(C8/140,"")</f>
        <v>819.857142857143</v>
      </c>
      <c r="F8" s="32" t="s">
        <v>56</v>
      </c>
    </row>
    <row r="9" customFormat="false" ht="15.75" hidden="false" customHeight="true" outlineLevel="0" collapsed="false">
      <c r="B9" s="32" t="s">
        <v>149</v>
      </c>
      <c r="C9" s="29" t="n">
        <v>2407586</v>
      </c>
      <c r="D9" s="30"/>
      <c r="E9" s="31" t="n">
        <f aca="false">IFERROR(C9/140,"")</f>
        <v>17197.0428571429</v>
      </c>
      <c r="F9" s="32" t="s">
        <v>150</v>
      </c>
    </row>
    <row r="10" customFormat="false" ht="15.75" hidden="false" customHeight="true" outlineLevel="0" collapsed="false">
      <c r="B10" s="28" t="s">
        <v>65</v>
      </c>
      <c r="C10" s="29" t="n">
        <v>3450000</v>
      </c>
      <c r="D10" s="30"/>
      <c r="E10" s="31" t="n">
        <f aca="false">IFERROR(C10/140,"")</f>
        <v>24642.8571428571</v>
      </c>
      <c r="F10" s="32" t="s">
        <v>151</v>
      </c>
    </row>
    <row r="11" customFormat="false" ht="15.75" hidden="false" customHeight="true" outlineLevel="0" collapsed="false">
      <c r="B11" s="28" t="s">
        <v>152</v>
      </c>
      <c r="C11" s="29" t="n">
        <v>31000000</v>
      </c>
      <c r="D11" s="30"/>
      <c r="E11" s="31" t="n">
        <f aca="false">IFERROR(C11/140,"")</f>
        <v>221428.571428571</v>
      </c>
      <c r="F11" s="32" t="s">
        <v>153</v>
      </c>
    </row>
    <row r="12" customFormat="false" ht="15.75" hidden="false" customHeight="true" outlineLevel="0" collapsed="false">
      <c r="B12" s="28" t="s">
        <v>154</v>
      </c>
      <c r="C12" s="29" t="n">
        <v>10800000</v>
      </c>
      <c r="D12" s="30"/>
      <c r="E12" s="31" t="n">
        <f aca="false">IFERROR(C12/140,"")</f>
        <v>77142.8571428571</v>
      </c>
      <c r="F12" s="32" t="s">
        <v>155</v>
      </c>
    </row>
    <row r="13" customFormat="false" ht="15.75" hidden="false" customHeight="true" outlineLevel="0" collapsed="false">
      <c r="B13" s="28" t="s">
        <v>156</v>
      </c>
      <c r="C13" s="29" t="n">
        <v>1500000</v>
      </c>
      <c r="D13" s="30"/>
      <c r="E13" s="31" t="n">
        <f aca="false">IFERROR(C13/140,"")</f>
        <v>10714.2857142857</v>
      </c>
      <c r="F13" s="32" t="s">
        <v>157</v>
      </c>
    </row>
    <row r="14" customFormat="false" ht="15.75" hidden="false" customHeight="true" outlineLevel="0" collapsed="false">
      <c r="B14" s="28" t="s">
        <v>158</v>
      </c>
      <c r="C14" s="29" t="n">
        <v>2739636</v>
      </c>
      <c r="D14" s="30"/>
      <c r="E14" s="31" t="n">
        <f aca="false">IFERROR(C14/140,"")</f>
        <v>19568.8285714286</v>
      </c>
      <c r="F14" s="32"/>
    </row>
    <row r="15" customFormat="false" ht="15.75" hidden="false" customHeight="true" outlineLevel="0" collapsed="false">
      <c r="B15" s="28" t="s">
        <v>159</v>
      </c>
      <c r="C15" s="29" t="n">
        <v>8042719</v>
      </c>
      <c r="D15" s="30"/>
      <c r="E15" s="31" t="n">
        <f aca="false">IFERROR(C15/140,"")</f>
        <v>57447.9928571429</v>
      </c>
      <c r="F15" s="32" t="s">
        <v>160</v>
      </c>
    </row>
    <row r="16" customFormat="false" ht="15.75" hidden="false" customHeight="true" outlineLevel="0" collapsed="false">
      <c r="B16" s="28" t="s">
        <v>161</v>
      </c>
      <c r="C16" s="29" t="n">
        <v>3961026</v>
      </c>
      <c r="D16" s="30"/>
      <c r="E16" s="31" t="n">
        <f aca="false">IFERROR(C16/140,"")</f>
        <v>28293.0428571429</v>
      </c>
      <c r="F16" s="32" t="s">
        <v>162</v>
      </c>
    </row>
    <row r="17" customFormat="false" ht="15.75" hidden="false" customHeight="true" outlineLevel="0" collapsed="false">
      <c r="B17" s="28" t="s">
        <v>163</v>
      </c>
      <c r="C17" s="29" t="n">
        <v>5446912</v>
      </c>
      <c r="D17" s="30"/>
      <c r="E17" s="31" t="n">
        <f aca="false">IFERROR(C17/140,"")</f>
        <v>38906.5142857143</v>
      </c>
      <c r="F17" s="32" t="s">
        <v>164</v>
      </c>
    </row>
    <row r="18" customFormat="false" ht="15.75" hidden="false" customHeight="true" outlineLevel="0" collapsed="false">
      <c r="B18" s="33" t="s">
        <v>165</v>
      </c>
      <c r="C18" s="34" t="n">
        <v>69733653</v>
      </c>
      <c r="D18" s="35" t="n">
        <v>1</v>
      </c>
      <c r="E18" s="36" t="n">
        <f aca="false">IFERROR(C18/140,"")</f>
        <v>498097.521428571</v>
      </c>
      <c r="F18" s="37"/>
    </row>
    <row r="20" customFormat="false" ht="19.5" hidden="false" customHeight="true" outlineLevel="0" collapsed="false">
      <c r="B20" s="7" t="s">
        <v>166</v>
      </c>
      <c r="C20" s="7"/>
      <c r="D20" s="7"/>
      <c r="E20" s="7"/>
      <c r="F20" s="7"/>
    </row>
    <row r="21" customFormat="false" ht="15" hidden="false" customHeight="true" outlineLevel="0" collapsed="false">
      <c r="B21" s="27" t="s">
        <v>167</v>
      </c>
      <c r="C21" s="27" t="s">
        <v>136</v>
      </c>
      <c r="D21" s="27" t="s">
        <v>168</v>
      </c>
      <c r="E21" s="27" t="s">
        <v>139</v>
      </c>
    </row>
    <row r="22" customFormat="false" ht="15.75" hidden="false" customHeight="true" outlineLevel="0" collapsed="false">
      <c r="B22" s="28" t="s">
        <v>169</v>
      </c>
      <c r="C22" s="29" t="n">
        <v>40470568</v>
      </c>
      <c r="D22" s="38" t="s">
        <v>170</v>
      </c>
      <c r="E22" s="39" t="s">
        <v>171</v>
      </c>
    </row>
    <row r="23" customFormat="false" ht="15.75" hidden="false" customHeight="true" outlineLevel="0" collapsed="false">
      <c r="B23" s="28" t="s">
        <v>172</v>
      </c>
      <c r="C23" s="29" t="n">
        <v>26457311</v>
      </c>
      <c r="D23" s="38" t="s">
        <v>173</v>
      </c>
      <c r="E23" s="39" t="s">
        <v>174</v>
      </c>
    </row>
    <row r="24" customFormat="false" ht="15.75" hidden="false" customHeight="true" outlineLevel="0" collapsed="false">
      <c r="B24" s="28" t="s">
        <v>175</v>
      </c>
      <c r="C24" s="29" t="n">
        <v>1200000</v>
      </c>
      <c r="D24" s="38" t="s">
        <v>176</v>
      </c>
      <c r="E24" s="39" t="s">
        <v>177</v>
      </c>
    </row>
    <row r="25" customFormat="false" ht="15.75" hidden="false" customHeight="true" outlineLevel="0" collapsed="false">
      <c r="B25" s="28" t="s">
        <v>178</v>
      </c>
      <c r="C25" s="29" t="n">
        <v>1376214</v>
      </c>
      <c r="D25" s="38" t="s">
        <v>179</v>
      </c>
      <c r="E25" s="39" t="s">
        <v>180</v>
      </c>
    </row>
    <row r="26" customFormat="false" ht="15.75" hidden="false" customHeight="true" outlineLevel="0" collapsed="false">
      <c r="B26" s="28" t="s">
        <v>181</v>
      </c>
      <c r="C26" s="29" t="n">
        <v>229560</v>
      </c>
      <c r="D26" s="38" t="s">
        <v>182</v>
      </c>
      <c r="E26" s="39" t="s">
        <v>183</v>
      </c>
    </row>
    <row r="27" customFormat="false" ht="18" hidden="false" customHeight="true" outlineLevel="0" collapsed="false">
      <c r="B27" s="40" t="s">
        <v>184</v>
      </c>
      <c r="C27" s="41" t="n">
        <f aca="false">SUM(C22:C26)</f>
        <v>69733653</v>
      </c>
      <c r="D27" s="42"/>
      <c r="E27" s="42"/>
    </row>
  </sheetData>
  <mergeCells count="3">
    <mergeCell ref="B1:F1"/>
    <mergeCell ref="B3:F3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7" t="s">
        <v>185</v>
      </c>
      <c r="C1" s="7"/>
      <c r="D1" s="7"/>
      <c r="E1" s="7"/>
      <c r="F1" s="7"/>
    </row>
    <row r="2" customFormat="false" ht="15" hidden="false" customHeight="true" outlineLevel="0" collapsed="false">
      <c r="B2" s="16" t="s">
        <v>186</v>
      </c>
      <c r="C2" s="16"/>
      <c r="D2" s="16"/>
      <c r="E2" s="16"/>
      <c r="F2" s="16"/>
    </row>
    <row r="3" customFormat="false" ht="15.75" hidden="false" customHeight="true" outlineLevel="0" collapsed="false">
      <c r="B3" s="28" t="s">
        <v>187</v>
      </c>
      <c r="C3" s="31" t="n">
        <f aca="false">'Dev Budget'!C22</f>
        <v>40470568</v>
      </c>
      <c r="D3" s="39" t="s">
        <v>188</v>
      </c>
    </row>
    <row r="4" customFormat="false" ht="15.75" hidden="false" customHeight="true" outlineLevel="0" collapsed="false">
      <c r="B4" s="28" t="s">
        <v>72</v>
      </c>
      <c r="C4" s="43" t="n">
        <f aca="false">Assumptions!C30</f>
        <v>36</v>
      </c>
    </row>
    <row r="5" customFormat="false" ht="15.75" hidden="false" customHeight="true" outlineLevel="0" collapsed="false">
      <c r="B5" s="28" t="s">
        <v>189</v>
      </c>
      <c r="C5" s="44" t="n">
        <f aca="false">Assumptions!C31</f>
        <v>0.5</v>
      </c>
    </row>
    <row r="6" customFormat="false" ht="15.75" hidden="false" customHeight="true" outlineLevel="0" collapsed="false">
      <c r="B6" s="28" t="s">
        <v>190</v>
      </c>
      <c r="C6" s="31" t="n">
        <f aca="false">'Dev Budget'!C22*Assumptions!C30/12</f>
        <v>121411704</v>
      </c>
      <c r="D6" s="39" t="s">
        <v>191</v>
      </c>
    </row>
    <row r="7" customFormat="false" ht="15.75" hidden="false" customHeight="true" outlineLevel="0" collapsed="false">
      <c r="B7" s="28" t="s">
        <v>192</v>
      </c>
      <c r="C7" s="31" t="n">
        <f aca="false">'Dev Budget'!C22*Assumptions!C30</f>
        <v>1456940448</v>
      </c>
    </row>
    <row r="8" customFormat="false" ht="15.75" hidden="false" customHeight="true" outlineLevel="0" collapsed="false">
      <c r="B8" s="28" t="s">
        <v>193</v>
      </c>
      <c r="C8" s="31" t="n">
        <f aca="false">'Dev Budget'!C22*Assumptions!C30*(Assumptions!C31/12)*Assumptions!C32</f>
        <v>910587.78</v>
      </c>
    </row>
    <row r="9" customFormat="false" ht="15.75" hidden="false" customHeight="true" outlineLevel="0" collapsed="false">
      <c r="B9" s="28" t="s">
        <v>194</v>
      </c>
      <c r="C9" s="31" t="n">
        <f aca="false">'Dev Budget'!C22*Assumptions!C33</f>
        <v>404705.68</v>
      </c>
    </row>
    <row r="10" customFormat="false" ht="15.75" hidden="false" customHeight="true" outlineLevel="0" collapsed="false">
      <c r="B10" s="28" t="s">
        <v>195</v>
      </c>
      <c r="C10" s="31" t="n">
        <f aca="false">'Dev Budget'!C22*Assumptions!C34</f>
        <v>3035292600000</v>
      </c>
    </row>
    <row r="11" customFormat="false" ht="15.75" hidden="false" customHeight="true" outlineLevel="0" collapsed="false">
      <c r="B11" s="28" t="s">
        <v>80</v>
      </c>
      <c r="C11" s="29" t="n">
        <f aca="false">Assumptions!C35</f>
        <v>0.8</v>
      </c>
      <c r="D11" s="39" t="s">
        <v>81</v>
      </c>
    </row>
    <row r="13" customFormat="false" ht="15" hidden="false" customHeight="true" outlineLevel="0" collapsed="false">
      <c r="B13" s="16" t="s">
        <v>196</v>
      </c>
      <c r="C13" s="16"/>
      <c r="D13" s="16"/>
      <c r="E13" s="16"/>
      <c r="F13" s="16"/>
    </row>
    <row r="14" customFormat="false" ht="15.75" hidden="false" customHeight="true" outlineLevel="0" collapsed="false">
      <c r="B14" s="28" t="s">
        <v>197</v>
      </c>
      <c r="C14" s="31" t="n">
        <f aca="false">'Dev Budget'!C22*Assumptions!C36</f>
        <v>26305869.2</v>
      </c>
      <c r="D14" s="45" t="s">
        <v>198</v>
      </c>
      <c r="E14" s="39" t="s">
        <v>199</v>
      </c>
    </row>
    <row r="15" customFormat="false" ht="15.75" hidden="false" customHeight="true" outlineLevel="0" collapsed="false">
      <c r="B15" s="28" t="s">
        <v>200</v>
      </c>
      <c r="C15" s="31" t="n">
        <f aca="false">'Pro Forma'!C30*Assumptions!C37</f>
        <v>0</v>
      </c>
      <c r="D15" s="45" t="s">
        <v>198</v>
      </c>
      <c r="E15" s="39" t="s">
        <v>201</v>
      </c>
    </row>
    <row r="16" customFormat="false" ht="15.75" hidden="false" customHeight="true" outlineLevel="0" collapsed="false">
      <c r="B16" s="28" t="s">
        <v>202</v>
      </c>
      <c r="C16" s="31" t="n">
        <f aca="false">'Dev Budget'!C22</f>
        <v>40470568</v>
      </c>
      <c r="D16" s="45" t="s">
        <v>198</v>
      </c>
      <c r="E16" s="39"/>
    </row>
    <row r="17" customFormat="false" ht="15.75" hidden="false" customHeight="true" outlineLevel="0" collapsed="false">
      <c r="B17" s="28" t="s">
        <v>203</v>
      </c>
      <c r="C17" s="46" t="n">
        <f aca="false">'Dev Budget'!C22/'Dev Budget'!C22</f>
        <v>1</v>
      </c>
      <c r="D17" s="45" t="s">
        <v>198</v>
      </c>
      <c r="E17" s="39"/>
    </row>
    <row r="18" customFormat="false" ht="15.75" hidden="false" customHeight="true" outlineLevel="0" collapsed="false">
      <c r="B18" s="28" t="s">
        <v>204</v>
      </c>
      <c r="C18" s="46" t="n">
        <f aca="false">IFERROR(C3/'Dev Budget'!C19,0)</f>
        <v>0</v>
      </c>
      <c r="D18" s="45" t="s">
        <v>198</v>
      </c>
      <c r="E18" s="39"/>
    </row>
    <row r="20" customFormat="false" ht="15" hidden="false" customHeight="true" outlineLevel="0" collapsed="false">
      <c r="B20" s="16" t="s">
        <v>205</v>
      </c>
      <c r="C20" s="16"/>
      <c r="D20" s="16"/>
      <c r="E20" s="16"/>
      <c r="F20" s="16"/>
    </row>
    <row r="21" customFormat="false" ht="15.75" hidden="false" customHeight="true" outlineLevel="0" collapsed="false">
      <c r="B21" s="28" t="s">
        <v>95</v>
      </c>
      <c r="C21" s="31" t="n">
        <f aca="false">Assumptions!C43</f>
        <v>0</v>
      </c>
    </row>
    <row r="22" customFormat="false" ht="15.75" hidden="false" customHeight="true" outlineLevel="0" collapsed="false">
      <c r="B22" s="28" t="s">
        <v>206</v>
      </c>
      <c r="C22" s="31" t="n">
        <f aca="false">Assumptions!C43*Assumptions!C44</f>
        <v>0</v>
      </c>
    </row>
    <row r="23" customFormat="false" ht="15.75" hidden="false" customHeight="true" outlineLevel="0" collapsed="false">
      <c r="B23" s="28" t="s">
        <v>207</v>
      </c>
      <c r="C23" s="31" t="n">
        <f aca="false">Assumptions!C43*Assumptions!C44</f>
        <v>0</v>
      </c>
    </row>
    <row r="24" customFormat="false" ht="15.75" hidden="false" customHeight="true" outlineLevel="0" collapsed="false">
      <c r="B24" s="28" t="s">
        <v>208</v>
      </c>
      <c r="C24" s="31" t="n">
        <f aca="false">Assumptions!C43*Assumptions!C44*Assumptions!C45</f>
        <v>0</v>
      </c>
    </row>
    <row r="25" customFormat="false" ht="15.75" hidden="false" customHeight="true" outlineLevel="0" collapsed="false">
      <c r="B25" s="28" t="s">
        <v>209</v>
      </c>
      <c r="C25" s="47" t="n">
        <f aca="false">Assumptions!C46</f>
        <v>1.3</v>
      </c>
    </row>
    <row r="26" customFormat="false" ht="15.75" hidden="false" customHeight="true" outlineLevel="0" collapsed="false">
      <c r="B26" s="28" t="s">
        <v>210</v>
      </c>
      <c r="C26" s="31" t="n">
        <f aca="false">Assumptions!C43*Assumptions!C44*Assumptions!C45*Assumptions!C46</f>
        <v>0</v>
      </c>
    </row>
    <row r="27" customFormat="false" ht="15.75" hidden="false" customHeight="true" outlineLevel="0" collapsed="false">
      <c r="B27" s="28" t="s">
        <v>211</v>
      </c>
      <c r="C27" s="48" t="n">
        <f aca="false">Assumptions!C47</f>
        <v>0.04</v>
      </c>
    </row>
    <row r="28" customFormat="false" ht="15.75" hidden="false" customHeight="true" outlineLevel="0" collapsed="false">
      <c r="B28" s="49" t="s">
        <v>212</v>
      </c>
      <c r="C28" s="50" t="n">
        <f aca="false">Assumptions!C43*Assumptions!C44*Assumptions!C45*Assumptions!C46*Assumptions!C47</f>
        <v>0</v>
      </c>
    </row>
    <row r="30" customFormat="false" ht="15" hidden="false" customHeight="true" outlineLevel="0" collapsed="false">
      <c r="B30" s="16" t="s">
        <v>213</v>
      </c>
      <c r="C30" s="16"/>
      <c r="D30" s="16"/>
      <c r="E30" s="16"/>
      <c r="F30" s="16"/>
    </row>
    <row r="31" customFormat="false" ht="15.75" hidden="false" customHeight="true" outlineLevel="0" collapsed="false">
      <c r="B31" s="28" t="s">
        <v>214</v>
      </c>
      <c r="C31" s="29" t="n">
        <v>54119038</v>
      </c>
    </row>
    <row r="32" customFormat="false" ht="15.75" hidden="false" customHeight="true" outlineLevel="0" collapsed="false">
      <c r="B32" s="28" t="s">
        <v>215</v>
      </c>
      <c r="C32" s="46" t="n">
        <f aca="false">Assumptions!C38</f>
        <v>0</v>
      </c>
    </row>
    <row r="33" customFormat="false" ht="15.75" hidden="false" customHeight="true" outlineLevel="0" collapsed="false">
      <c r="B33" s="28" t="s">
        <v>216</v>
      </c>
      <c r="C33" s="47" t="n">
        <f aca="false">Assumptions!C39</f>
        <v>0.045</v>
      </c>
    </row>
    <row r="34" customFormat="false" ht="15.75" hidden="false" customHeight="true" outlineLevel="0" collapsed="false">
      <c r="B34" s="28" t="s">
        <v>217</v>
      </c>
      <c r="C34" s="31" t="n">
        <f aca="false">-PMT(Assumptions!C38/12,Assumptions!C39*12,54119038)</f>
        <v>100220440.740741</v>
      </c>
    </row>
    <row r="35" customFormat="false" ht="15.75" hidden="false" customHeight="true" outlineLevel="0" collapsed="false">
      <c r="B35" s="28" t="s">
        <v>218</v>
      </c>
      <c r="C35" s="31" t="n">
        <f aca="false">(-PMT(Assumptions!C38/12,Assumptions!C39*12,54119038))*12</f>
        <v>1202645288.88889</v>
      </c>
    </row>
    <row r="36" customFormat="false" ht="15.75" hidden="false" customHeight="true" outlineLevel="0" collapsed="false">
      <c r="B36" s="28" t="s">
        <v>219</v>
      </c>
      <c r="C36" s="31" t="n">
        <f aca="false">'Pro Forma'!C27</f>
        <v>0</v>
      </c>
    </row>
    <row r="37" customFormat="false" ht="15.75" hidden="false" customHeight="true" outlineLevel="0" collapsed="false">
      <c r="B37" s="49" t="s">
        <v>8</v>
      </c>
      <c r="C37" s="51" t="n">
        <f aca="false">'Pro Forma'!C27/((-PMT(Assumptions!C38/12,Assumptions!C39*12,54119038))*12)</f>
        <v>0</v>
      </c>
    </row>
  </sheetData>
  <mergeCells count="5">
    <mergeCell ref="B1:F1"/>
    <mergeCell ref="B2:F2"/>
    <mergeCell ref="B13:F13"/>
    <mergeCell ref="B20:F20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9.5" hidden="false" customHeight="true" outlineLevel="0" collapsed="false">
      <c r="B1" s="7" t="s">
        <v>220</v>
      </c>
      <c r="C1" s="7"/>
      <c r="D1" s="7"/>
      <c r="E1" s="7"/>
      <c r="F1" s="7"/>
      <c r="G1" s="7"/>
    </row>
    <row r="2" customFormat="false" ht="15" hidden="false" customHeight="true" outlineLevel="0" collapsed="false">
      <c r="B2" s="16" t="s">
        <v>221</v>
      </c>
      <c r="C2" s="16"/>
      <c r="D2" s="16"/>
      <c r="E2" s="16"/>
      <c r="F2" s="16"/>
      <c r="G2" s="16"/>
    </row>
    <row r="3" customFormat="false" ht="15.75" hidden="false" customHeight="true" outlineLevel="0" collapsed="false">
      <c r="B3" s="27" t="s">
        <v>222</v>
      </c>
      <c r="C3" s="27" t="s">
        <v>223</v>
      </c>
      <c r="D3" s="27" t="s">
        <v>224</v>
      </c>
      <c r="E3" s="27" t="s">
        <v>225</v>
      </c>
      <c r="F3" s="27" t="s">
        <v>226</v>
      </c>
      <c r="G3" s="27" t="s">
        <v>227</v>
      </c>
    </row>
    <row r="4" customFormat="false" ht="15.75" hidden="false" customHeight="true" outlineLevel="0" collapsed="false">
      <c r="B4" s="52" t="s">
        <v>228</v>
      </c>
      <c r="C4" s="53" t="n">
        <v>15</v>
      </c>
      <c r="D4" s="53" t="n">
        <v>450</v>
      </c>
      <c r="E4" s="54" t="n">
        <f aca="false">Assumptions!C50</f>
        <v>0</v>
      </c>
      <c r="F4" s="55" t="n">
        <f aca="false">D5*E5*12</f>
        <v>0</v>
      </c>
      <c r="G4" s="56" t="str">
        <f aca="false">IFERROR(F4/F9,"")</f>
        <v/>
      </c>
    </row>
    <row r="5" customFormat="false" ht="15.75" hidden="false" customHeight="true" outlineLevel="0" collapsed="false">
      <c r="B5" s="52" t="s">
        <v>229</v>
      </c>
      <c r="C5" s="53" t="n">
        <v>50</v>
      </c>
      <c r="D5" s="53" t="n">
        <v>650</v>
      </c>
      <c r="E5" s="54" t="n">
        <f aca="false">Assumptions!C51</f>
        <v>0</v>
      </c>
      <c r="F5" s="55" t="n">
        <f aca="false">D6*E6*12</f>
        <v>19440000</v>
      </c>
      <c r="G5" s="56" t="str">
        <f aca="false">IFERROR(F5/F9,"")</f>
        <v/>
      </c>
    </row>
    <row r="6" customFormat="false" ht="15.75" hidden="false" customHeight="true" outlineLevel="0" collapsed="false">
      <c r="B6" s="52" t="s">
        <v>230</v>
      </c>
      <c r="C6" s="53" t="n">
        <v>55</v>
      </c>
      <c r="D6" s="53" t="n">
        <v>900</v>
      </c>
      <c r="E6" s="54" t="n">
        <f aca="false">Assumptions!C52</f>
        <v>1800</v>
      </c>
      <c r="F6" s="55" t="n">
        <f aca="false">D7*E7*12</f>
        <v>30360000</v>
      </c>
      <c r="G6" s="56" t="str">
        <f aca="false">IFERROR(F6/F9,"")</f>
        <v/>
      </c>
    </row>
    <row r="7" customFormat="false" ht="15.75" hidden="false" customHeight="true" outlineLevel="0" collapsed="false">
      <c r="B7" s="52" t="s">
        <v>231</v>
      </c>
      <c r="C7" s="53" t="n">
        <v>20</v>
      </c>
      <c r="D7" s="53" t="n">
        <v>1150</v>
      </c>
      <c r="E7" s="54" t="n">
        <f aca="false">Assumptions!C53</f>
        <v>2200</v>
      </c>
      <c r="F7" s="55" t="n">
        <f aca="false">D8*E8*12</f>
        <v>0</v>
      </c>
      <c r="G7" s="56" t="str">
        <f aca="false">IFERROR(F7/F9,"")</f>
        <v/>
      </c>
    </row>
    <row r="8" customFormat="false" ht="15.75" hidden="false" customHeight="true" outlineLevel="0" collapsed="false">
      <c r="B8" s="49" t="s">
        <v>232</v>
      </c>
      <c r="C8" s="57" t="n">
        <f aca="false">SUM(C4:C7)</f>
        <v>140</v>
      </c>
      <c r="D8" s="42"/>
      <c r="E8" s="42"/>
      <c r="F8" s="41" t="n">
        <f aca="false">SUM(F4:F7)</f>
        <v>49800000</v>
      </c>
      <c r="G8" s="42"/>
    </row>
    <row r="10" customFormat="false" ht="15" hidden="false" customHeight="true" outlineLevel="0" collapsed="false">
      <c r="B10" s="16" t="s">
        <v>233</v>
      </c>
      <c r="C10" s="16"/>
      <c r="D10" s="16"/>
      <c r="E10" s="16"/>
      <c r="F10" s="16"/>
      <c r="G10" s="16"/>
    </row>
    <row r="11" customFormat="false" ht="15.75" hidden="false" customHeight="true" outlineLevel="0" collapsed="false">
      <c r="B11" s="28" t="s">
        <v>234</v>
      </c>
      <c r="C11" s="29" t="n">
        <f aca="false">F9</f>
        <v>0</v>
      </c>
    </row>
    <row r="12" customFormat="false" ht="15.75" hidden="false" customHeight="true" outlineLevel="0" collapsed="false">
      <c r="B12" s="28" t="s">
        <v>235</v>
      </c>
      <c r="C12" s="31" t="n">
        <f aca="false">-F9*Assumptions!C54</f>
        <v>-0</v>
      </c>
    </row>
    <row r="13" customFormat="false" ht="15.75" hidden="false" customHeight="true" outlineLevel="0" collapsed="false">
      <c r="B13" s="28" t="s">
        <v>236</v>
      </c>
      <c r="C13" s="29" t="n">
        <f aca="false">Assumptions!C55</f>
        <v>3400</v>
      </c>
    </row>
    <row r="14" customFormat="false" ht="15.75" hidden="false" customHeight="true" outlineLevel="0" collapsed="false">
      <c r="B14" s="28" t="s">
        <v>237</v>
      </c>
      <c r="C14" s="31" t="n">
        <f aca="false">IFERROR(C21+C22+C23,0)</f>
        <v>0</v>
      </c>
    </row>
    <row r="15" customFormat="false" ht="15.75" hidden="false" customHeight="true" outlineLevel="0" collapsed="false">
      <c r="B15" s="28" t="s">
        <v>238</v>
      </c>
      <c r="C15" s="31" t="n">
        <f aca="false">-C24*Assumptions!C56</f>
        <v>-0</v>
      </c>
    </row>
    <row r="16" customFormat="false" ht="15.75" hidden="false" customHeight="true" outlineLevel="0" collapsed="false">
      <c r="B16" s="49" t="s">
        <v>239</v>
      </c>
      <c r="C16" s="50" t="n">
        <f aca="false">C24+C25</f>
        <v>0</v>
      </c>
    </row>
    <row r="17" customFormat="false" ht="15.75" hidden="false" customHeight="true" outlineLevel="0" collapsed="false">
      <c r="B17" s="28" t="s">
        <v>240</v>
      </c>
      <c r="C17" s="31" t="n">
        <f aca="false">C26/Assumptions!C58</f>
        <v>0</v>
      </c>
    </row>
    <row r="18" customFormat="false" ht="15.75" hidden="false" customHeight="true" outlineLevel="0" collapsed="false">
      <c r="B18" s="28" t="s">
        <v>241</v>
      </c>
      <c r="C18" s="29" t="n">
        <v>-54119038</v>
      </c>
    </row>
    <row r="19" customFormat="false" ht="15.75" hidden="false" customHeight="true" outlineLevel="0" collapsed="false">
      <c r="B19" s="49" t="s">
        <v>242</v>
      </c>
      <c r="C19" s="50" t="n">
        <f aca="false">C27+C28</f>
        <v>0</v>
      </c>
    </row>
    <row r="20" customFormat="false" ht="15.75" hidden="false" customHeight="true" outlineLevel="0" collapsed="false">
      <c r="B20" s="28" t="s">
        <v>243</v>
      </c>
      <c r="C20" s="31" t="n">
        <f aca="false">(-PMT(Assumptions!C38/12,Assumptions!C39*12,54119038))*12</f>
        <v>1202645288.88889</v>
      </c>
    </row>
    <row r="21" customFormat="false" ht="15.75" hidden="false" customHeight="true" outlineLevel="0" collapsed="false">
      <c r="B21" s="49" t="s">
        <v>8</v>
      </c>
      <c r="C21" s="58" t="n">
        <f aca="false">IFERROR(C26/C30,0)</f>
        <v>0</v>
      </c>
    </row>
    <row r="23" customFormat="false" ht="21.75" hidden="false" customHeight="true" outlineLevel="0" collapsed="false">
      <c r="B23" s="59" t="s">
        <v>244</v>
      </c>
      <c r="C23" s="59"/>
      <c r="D23" s="59"/>
      <c r="E23" s="59"/>
      <c r="F23" s="59"/>
      <c r="G23" s="59"/>
    </row>
  </sheetData>
  <mergeCells count="4">
    <mergeCell ref="B1:G1"/>
    <mergeCell ref="B2:G2"/>
    <mergeCell ref="B10:G10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19.5" hidden="false" customHeight="true" outlineLevel="0" collapsed="false">
      <c r="B1" s="7" t="s">
        <v>245</v>
      </c>
      <c r="C1" s="7"/>
      <c r="D1" s="7"/>
      <c r="E1" s="7"/>
    </row>
    <row r="2" customFormat="false" ht="15" hidden="false" customHeight="true" outlineLevel="0" collapsed="false">
      <c r="B2" s="16" t="s">
        <v>246</v>
      </c>
      <c r="C2" s="16"/>
      <c r="D2" s="16"/>
      <c r="E2" s="16"/>
    </row>
    <row r="3" customFormat="false" ht="15.75" hidden="false" customHeight="true" outlineLevel="0" collapsed="false">
      <c r="B3" s="60" t="s">
        <v>247</v>
      </c>
      <c r="C3" s="60" t="s">
        <v>248</v>
      </c>
      <c r="D3" s="60" t="s">
        <v>249</v>
      </c>
      <c r="E3" s="60" t="s">
        <v>250</v>
      </c>
    </row>
    <row r="4" customFormat="false" ht="15.75" hidden="false" customHeight="true" outlineLevel="0" collapsed="false">
      <c r="B4" s="28" t="s">
        <v>64</v>
      </c>
      <c r="C4" s="29" t="n">
        <v>1200000</v>
      </c>
      <c r="D4" s="29" t="n">
        <v>0</v>
      </c>
      <c r="E4" s="31" t="n">
        <f aca="false">C4-D4</f>
        <v>1200000</v>
      </c>
    </row>
    <row r="5" customFormat="false" ht="15.75" hidden="false" customHeight="true" outlineLevel="0" collapsed="false">
      <c r="B5" s="28" t="s">
        <v>38</v>
      </c>
      <c r="C5" s="29" t="n">
        <v>3796214</v>
      </c>
      <c r="D5" s="29" t="n">
        <v>2420000</v>
      </c>
      <c r="E5" s="31" t="n">
        <f aca="false">C5-D5</f>
        <v>1376214</v>
      </c>
    </row>
    <row r="6" customFormat="false" ht="18" hidden="false" customHeight="true" outlineLevel="0" collapsed="false">
      <c r="B6" s="49" t="s">
        <v>251</v>
      </c>
      <c r="C6" s="41" t="n">
        <f aca="false">SUM(C4:C5)</f>
        <v>4996214</v>
      </c>
      <c r="D6" s="41" t="n">
        <f aca="false">SUM(D4:D5)</f>
        <v>2420000</v>
      </c>
      <c r="E6" s="41" t="n">
        <f aca="false">SUM(E4:E5)</f>
        <v>2576214</v>
      </c>
    </row>
    <row r="8" customFormat="false" ht="15" hidden="false" customHeight="true" outlineLevel="0" collapsed="false">
      <c r="B8" s="16" t="s">
        <v>252</v>
      </c>
      <c r="C8" s="16"/>
      <c r="D8" s="16"/>
      <c r="E8" s="16"/>
    </row>
    <row r="9" customFormat="false" ht="15.75" hidden="false" customHeight="true" outlineLevel="0" collapsed="false">
      <c r="B9" s="28" t="s">
        <v>253</v>
      </c>
      <c r="C9" s="46" t="n">
        <f aca="false">Assumptions!C61</f>
        <v>0.0425</v>
      </c>
      <c r="D9" s="61" t="s">
        <v>254</v>
      </c>
      <c r="E9" s="61"/>
    </row>
    <row r="10" customFormat="false" ht="15.75" hidden="false" customHeight="true" outlineLevel="0" collapsed="false">
      <c r="B10" s="28" t="s">
        <v>255</v>
      </c>
      <c r="C10" s="31" t="n">
        <f aca="false">E6*Assumptions!C61</f>
        <v>109489.095</v>
      </c>
      <c r="D10" s="61" t="s">
        <v>256</v>
      </c>
      <c r="E10" s="61"/>
    </row>
    <row r="11" customFormat="false" ht="15.75" hidden="false" customHeight="true" outlineLevel="0" collapsed="false">
      <c r="B11" s="28" t="s">
        <v>257</v>
      </c>
      <c r="C11" s="46" t="n">
        <f aca="false">Assumptions!C62</f>
        <v>0.045</v>
      </c>
      <c r="D11" s="61" t="s">
        <v>258</v>
      </c>
      <c r="E11" s="61"/>
    </row>
    <row r="12" customFormat="false" ht="15.75" hidden="false" customHeight="true" outlineLevel="0" collapsed="false">
      <c r="B12" s="28" t="s">
        <v>259</v>
      </c>
      <c r="C12" s="46" t="n">
        <f aca="false">1-Assumptions!C62</f>
        <v>0.955</v>
      </c>
      <c r="D12" s="61" t="s">
        <v>258</v>
      </c>
      <c r="E12" s="61"/>
    </row>
    <row r="13" customFormat="false" ht="15.75" hidden="false" customHeight="true" outlineLevel="0" collapsed="false">
      <c r="B13" s="28" t="s">
        <v>260</v>
      </c>
      <c r="C13" s="29" t="n">
        <v>3961026</v>
      </c>
      <c r="D13" s="61" t="s">
        <v>261</v>
      </c>
      <c r="E13" s="61"/>
    </row>
    <row r="14" customFormat="false" ht="15.75" hidden="false" customHeight="true" outlineLevel="0" collapsed="false">
      <c r="B14" s="28" t="s">
        <v>262</v>
      </c>
      <c r="C14" s="29" t="n">
        <v>0</v>
      </c>
      <c r="D14" s="61" t="s">
        <v>263</v>
      </c>
      <c r="E14" s="61"/>
    </row>
    <row r="16" customFormat="false" ht="15" hidden="false" customHeight="true" outlineLevel="0" collapsed="false">
      <c r="B16" s="16" t="s">
        <v>264</v>
      </c>
      <c r="C16" s="16"/>
      <c r="D16" s="16"/>
      <c r="E16" s="16"/>
    </row>
    <row r="17" customFormat="false" ht="18" hidden="false" customHeight="true" outlineLevel="0" collapsed="false">
      <c r="B17" s="62" t="s">
        <v>265</v>
      </c>
      <c r="C17" s="63" t="s">
        <v>266</v>
      </c>
      <c r="D17" s="63"/>
      <c r="E17" s="63"/>
    </row>
    <row r="18" customFormat="false" ht="18" hidden="false" customHeight="true" outlineLevel="0" collapsed="false">
      <c r="B18" s="62" t="s">
        <v>267</v>
      </c>
      <c r="C18" s="63" t="s">
        <v>268</v>
      </c>
      <c r="D18" s="63"/>
      <c r="E18" s="63"/>
    </row>
    <row r="19" customFormat="false" ht="18" hidden="false" customHeight="true" outlineLevel="0" collapsed="false">
      <c r="B19" s="62" t="s">
        <v>269</v>
      </c>
      <c r="C19" s="63" t="s">
        <v>270</v>
      </c>
      <c r="D19" s="63"/>
      <c r="E19" s="63"/>
    </row>
    <row r="20" customFormat="false" ht="18" hidden="false" customHeight="true" outlineLevel="0" collapsed="false">
      <c r="B20" s="62" t="s">
        <v>271</v>
      </c>
      <c r="C20" s="63" t="s">
        <v>272</v>
      </c>
      <c r="D20" s="63"/>
      <c r="E20" s="63"/>
    </row>
  </sheetData>
  <mergeCells count="14">
    <mergeCell ref="B1:E1"/>
    <mergeCell ref="B2:E2"/>
    <mergeCell ref="B8:E8"/>
    <mergeCell ref="D9:E9"/>
    <mergeCell ref="D10:E10"/>
    <mergeCell ref="D11:E11"/>
    <mergeCell ref="D12:E12"/>
    <mergeCell ref="D13:E13"/>
    <mergeCell ref="D14:E14"/>
    <mergeCell ref="B16:E16"/>
    <mergeCell ref="C17:E17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20"/>
  </cols>
  <sheetData>
    <row r="1" customFormat="false" ht="19.5" hidden="false" customHeight="true" outlineLevel="0" collapsed="false">
      <c r="B1" s="7" t="s">
        <v>273</v>
      </c>
      <c r="C1" s="7"/>
      <c r="D1" s="7"/>
      <c r="E1" s="7"/>
    </row>
    <row r="2" customFormat="false" ht="13.5" hidden="false" customHeight="true" outlineLevel="0" collapsed="false">
      <c r="B2" s="63" t="s">
        <v>274</v>
      </c>
      <c r="C2" s="63"/>
      <c r="D2" s="63"/>
      <c r="E2" s="63"/>
    </row>
    <row r="3" customFormat="false" ht="15" hidden="false" customHeight="true" outlineLevel="0" collapsed="false">
      <c r="B3" s="16" t="s">
        <v>275</v>
      </c>
      <c r="C3" s="16"/>
      <c r="D3" s="16"/>
      <c r="E3" s="16"/>
    </row>
    <row r="4" customFormat="false" ht="15.75" hidden="false" customHeight="true" outlineLevel="0" collapsed="false">
      <c r="B4" s="28" t="s">
        <v>276</v>
      </c>
      <c r="C4" s="31" t="n">
        <f aca="false">IFERROR('Pro Forma'!C26*(1+Assumptions!C59)^3,0)</f>
        <v>0</v>
      </c>
    </row>
    <row r="5" customFormat="false" ht="15.75" hidden="false" customHeight="true" outlineLevel="0" collapsed="false">
      <c r="B5" s="28" t="s">
        <v>277</v>
      </c>
      <c r="C5" s="31" t="n">
        <f aca="false">IFERROR('Pro Forma'!C26*(1+Assumptions!C59)^3/Assumptions!C58,0)</f>
        <v>0</v>
      </c>
    </row>
    <row r="6" customFormat="false" ht="15.75" hidden="false" customHeight="true" outlineLevel="0" collapsed="false">
      <c r="B6" s="28" t="s">
        <v>278</v>
      </c>
      <c r="C6" s="31" t="n">
        <f aca="false">IFERROR('Pro Forma'!C26*(1+Assumptions!C59)^3/Assumptions!C58*Assumptions!C63,0)</f>
        <v>0</v>
      </c>
    </row>
    <row r="7" customFormat="false" ht="15.75" hidden="false" customHeight="true" outlineLevel="0" collapsed="false">
      <c r="B7" s="28" t="s">
        <v>279</v>
      </c>
      <c r="C7" s="29" t="n">
        <v>-54119038</v>
      </c>
    </row>
    <row r="8" customFormat="false" ht="15.75" hidden="false" customHeight="true" outlineLevel="0" collapsed="false">
      <c r="B8" s="28" t="s">
        <v>280</v>
      </c>
      <c r="C8" s="31" t="n">
        <f aca="false">IFERROR(C5+C6+C7,0)</f>
        <v>-54119038</v>
      </c>
    </row>
    <row r="9" customFormat="false" ht="15.75" hidden="false" customHeight="true" outlineLevel="0" collapsed="false">
      <c r="B9" s="28" t="s">
        <v>281</v>
      </c>
      <c r="C9" s="31" t="n">
        <f aca="false">IFERROR(E6,0)</f>
        <v>0</v>
      </c>
    </row>
    <row r="10" customFormat="false" ht="15.75" hidden="false" customHeight="true" outlineLevel="0" collapsed="false">
      <c r="B10" s="28" t="s">
        <v>282</v>
      </c>
      <c r="C10" s="31" t="n">
        <f aca="false">IFERROR(E6*Assumptions!C61*3,0)</f>
        <v>0</v>
      </c>
    </row>
    <row r="11" customFormat="false" ht="15.75" hidden="false" customHeight="true" outlineLevel="0" collapsed="false">
      <c r="B11" s="28" t="s">
        <v>283</v>
      </c>
      <c r="C11" s="31" t="n">
        <f aca="false">IFERROR((C8-E6-E6*Assumptions!C61*3)*Assumptions!C62,0)</f>
        <v>-2435356.71</v>
      </c>
    </row>
    <row r="12" customFormat="false" ht="15.75" hidden="false" customHeight="true" outlineLevel="0" collapsed="false">
      <c r="B12" s="49" t="s">
        <v>284</v>
      </c>
      <c r="C12" s="50" t="n">
        <f aca="false">IFERROR(C9+C10+C11,0)</f>
        <v>-2435356.71</v>
      </c>
    </row>
    <row r="14" customFormat="false" ht="15" hidden="false" customHeight="true" outlineLevel="0" collapsed="false">
      <c r="B14" s="16" t="s">
        <v>285</v>
      </c>
      <c r="C14" s="16"/>
      <c r="D14" s="16"/>
      <c r="E14" s="16"/>
    </row>
    <row r="15" customFormat="false" ht="15.75" hidden="false" customHeight="true" outlineLevel="0" collapsed="false">
      <c r="B15" s="28" t="s">
        <v>286</v>
      </c>
      <c r="C15" s="31" t="n">
        <f aca="false">IFERROR('Pro Forma'!C26*(1+Assumptions!C59)^10,0)</f>
        <v>0</v>
      </c>
    </row>
    <row r="16" customFormat="false" ht="15.75" hidden="false" customHeight="true" outlineLevel="0" collapsed="false">
      <c r="B16" s="28" t="s">
        <v>287</v>
      </c>
      <c r="C16" s="31" t="n">
        <f aca="false">IFERROR('Pro Forma'!C26*(1+Assumptions!C59)^10/Assumptions!C59,0)</f>
        <v>0</v>
      </c>
    </row>
    <row r="17" customFormat="false" ht="15.75" hidden="false" customHeight="true" outlineLevel="0" collapsed="false">
      <c r="B17" s="28" t="s">
        <v>288</v>
      </c>
      <c r="C17" s="31" t="n">
        <f aca="false">IFERROR(-('Pro Forma'!C26*(1+Assumptions!C59)^10/Assumptions!C59)*Assumptions!C63,0)</f>
        <v>0</v>
      </c>
    </row>
    <row r="18" customFormat="false" ht="15.75" hidden="false" customHeight="true" outlineLevel="0" collapsed="false">
      <c r="B18" s="28" t="s">
        <v>289</v>
      </c>
      <c r="C18" s="29" t="n">
        <v>-54119038</v>
      </c>
    </row>
    <row r="19" customFormat="false" ht="15.75" hidden="false" customHeight="true" outlineLevel="0" collapsed="false">
      <c r="B19" s="28" t="s">
        <v>290</v>
      </c>
      <c r="C19" s="31" t="n">
        <f aca="false">IFERROR(SUM(C15:C18),0)</f>
        <v>-54119038</v>
      </c>
    </row>
    <row r="20" customFormat="false" ht="15.75" hidden="false" customHeight="true" outlineLevel="0" collapsed="false">
      <c r="B20" s="28" t="s">
        <v>281</v>
      </c>
      <c r="C20" s="31" t="n">
        <f aca="false">IFERROR(E6,0)</f>
        <v>0</v>
      </c>
    </row>
    <row r="21" customFormat="false" ht="15.75" hidden="false" customHeight="true" outlineLevel="0" collapsed="false">
      <c r="B21" s="28" t="s">
        <v>283</v>
      </c>
      <c r="C21" s="31" t="n">
        <f aca="false">IFERROR((C19-E6)*Assumptions!C62,0)</f>
        <v>-2435356.71</v>
      </c>
    </row>
    <row r="22" customFormat="false" ht="15.75" hidden="false" customHeight="true" outlineLevel="0" collapsed="false">
      <c r="B22" s="28" t="s">
        <v>291</v>
      </c>
      <c r="C22" s="31" t="n">
        <f aca="false">IFERROR(E7*10,0)</f>
        <v>0</v>
      </c>
    </row>
    <row r="23" customFormat="false" ht="15.75" hidden="false" customHeight="true" outlineLevel="0" collapsed="false">
      <c r="B23" s="49" t="s">
        <v>292</v>
      </c>
      <c r="C23" s="50" t="n">
        <f aca="false">IFERROR(SUM(C20:C22),0)</f>
        <v>-2435356.71</v>
      </c>
    </row>
    <row r="24" customFormat="false" ht="15.75" hidden="false" customHeight="true" outlineLevel="0" collapsed="false">
      <c r="B24" s="49" t="s">
        <v>293</v>
      </c>
      <c r="C24" s="58" t="n">
        <f aca="false">IFERROR(C23/E6,0)</f>
        <v>0</v>
      </c>
    </row>
  </sheetData>
  <mergeCells count="4">
    <mergeCell ref="B1:E1"/>
    <mergeCell ref="B2:E2"/>
    <mergeCell ref="B3:E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16"/>
  </cols>
  <sheetData>
    <row r="1" customFormat="false" ht="19.5" hidden="false" customHeight="true" outlineLevel="0" collapsed="false">
      <c r="B1" s="7" t="s">
        <v>294</v>
      </c>
      <c r="C1" s="7"/>
      <c r="D1" s="7"/>
      <c r="E1" s="7"/>
    </row>
    <row r="2" customFormat="false" ht="15.75" hidden="false" customHeight="true" outlineLevel="0" collapsed="false">
      <c r="B2" s="60" t="s">
        <v>135</v>
      </c>
      <c r="C2" s="60" t="s">
        <v>295</v>
      </c>
      <c r="D2" s="60" t="s">
        <v>296</v>
      </c>
      <c r="E2" s="60" t="s">
        <v>139</v>
      </c>
    </row>
    <row r="3" customFormat="false" ht="18" hidden="false" customHeight="true" outlineLevel="0" collapsed="false">
      <c r="B3" s="28" t="s">
        <v>297</v>
      </c>
      <c r="C3" s="31" t="n">
        <f aca="false">'Pro Forma'!C27</f>
        <v>0</v>
      </c>
      <c r="D3" s="31" t="n">
        <f aca="false">'Pro Forma'!C27*(1+Assumptions!C59)^15</f>
        <v>0</v>
      </c>
      <c r="E3" s="39" t="s">
        <v>298</v>
      </c>
    </row>
    <row r="4" customFormat="false" ht="18" hidden="false" customHeight="true" outlineLevel="0" collapsed="false">
      <c r="B4" s="28" t="s">
        <v>241</v>
      </c>
      <c r="C4" s="29" t="n">
        <v>-54119038</v>
      </c>
      <c r="D4" s="29" t="n">
        <v>-54119038</v>
      </c>
      <c r="E4" s="39" t="s">
        <v>299</v>
      </c>
    </row>
    <row r="5" customFormat="false" ht="18" hidden="false" customHeight="true" outlineLevel="0" collapsed="false">
      <c r="B5" s="49" t="s">
        <v>250</v>
      </c>
      <c r="C5" s="50" t="n">
        <f aca="false">C3+C4</f>
        <v>-54119038</v>
      </c>
      <c r="D5" s="50" t="n">
        <f aca="false">D3+D4</f>
        <v>-54119038</v>
      </c>
      <c r="E5" s="39" t="s">
        <v>300</v>
      </c>
    </row>
    <row r="6" customFormat="false" ht="18" hidden="false" customHeight="true" outlineLevel="0" collapsed="false">
      <c r="B6" s="64" t="s">
        <v>301</v>
      </c>
      <c r="C6" s="65" t="n">
        <f aca="false">C5*Assumptions!C62</f>
        <v>-2435356.71</v>
      </c>
      <c r="D6" s="65" t="n">
        <f aca="false">D5*Assumptions!C62</f>
        <v>-2435356.71</v>
      </c>
      <c r="E6" s="39"/>
    </row>
    <row r="7" customFormat="false" ht="18" hidden="false" customHeight="true" outlineLevel="0" collapsed="false">
      <c r="B7" s="64" t="s">
        <v>302</v>
      </c>
      <c r="C7" s="65" t="n">
        <f aca="false">C5*(1-Assumptions!C62)</f>
        <v>-51683681.29</v>
      </c>
      <c r="D7" s="65" t="n">
        <f aca="false">D5*(1-Assumptions!C62)</f>
        <v>-51683681.29</v>
      </c>
      <c r="E7" s="39"/>
    </row>
    <row r="9" customFormat="false" ht="15" hidden="false" customHeight="true" outlineLevel="0" collapsed="false">
      <c r="B9" s="16" t="s">
        <v>303</v>
      </c>
      <c r="C9" s="16"/>
      <c r="D9" s="16"/>
      <c r="E9" s="16"/>
    </row>
    <row r="10" customFormat="false" ht="19.5" hidden="false" customHeight="true" outlineLevel="0" collapsed="false">
      <c r="B10" s="49" t="s">
        <v>304</v>
      </c>
      <c r="C10" s="66" t="n">
        <f aca="false">C5</f>
        <v>-54119038</v>
      </c>
      <c r="D10" s="39"/>
    </row>
    <row r="11" customFormat="false" ht="19.5" hidden="false" customHeight="true" outlineLevel="0" collapsed="false">
      <c r="B11" s="49" t="s">
        <v>305</v>
      </c>
      <c r="C11" s="66" t="n">
        <f aca="false">C6</f>
        <v>-2435356.71</v>
      </c>
      <c r="D11" s="39" t="s">
        <v>306</v>
      </c>
    </row>
    <row r="12" customFormat="false" ht="19.5" hidden="false" customHeight="true" outlineLevel="0" collapsed="false">
      <c r="B12" s="49" t="s">
        <v>307</v>
      </c>
      <c r="C12" s="66" t="n">
        <f aca="false">D5</f>
        <v>-54119038</v>
      </c>
      <c r="D12" s="39" t="s">
        <v>308</v>
      </c>
    </row>
    <row r="13" customFormat="false" ht="19.5" hidden="false" customHeight="true" outlineLevel="0" collapsed="false">
      <c r="B13" s="49" t="s">
        <v>309</v>
      </c>
      <c r="C13" s="66" t="n">
        <f aca="false">D6</f>
        <v>-2435356.71</v>
      </c>
      <c r="D13" s="39" t="s">
        <v>310</v>
      </c>
    </row>
  </sheetData>
  <mergeCells count="2">
    <mergeCell ref="B1:E1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8" min="3" style="1" width="14"/>
  </cols>
  <sheetData>
    <row r="1" customFormat="false" ht="19.5" hidden="false" customHeight="true" outlineLevel="0" collapsed="false">
      <c r="B1" s="7" t="s">
        <v>311</v>
      </c>
      <c r="C1" s="7"/>
      <c r="D1" s="7"/>
      <c r="E1" s="7"/>
      <c r="F1" s="7"/>
      <c r="G1" s="7"/>
      <c r="H1" s="7"/>
    </row>
    <row r="2" customFormat="false" ht="13.5" hidden="false" customHeight="true" outlineLevel="0" collapsed="false">
      <c r="B2" s="63" t="s">
        <v>312</v>
      </c>
      <c r="C2" s="63"/>
      <c r="D2" s="63"/>
      <c r="E2" s="63"/>
      <c r="F2" s="63"/>
      <c r="G2" s="63"/>
      <c r="H2" s="63"/>
    </row>
    <row r="3" customFormat="false" ht="15" hidden="false" customHeight="true" outlineLevel="0" collapsed="false">
      <c r="B3" s="16" t="s">
        <v>313</v>
      </c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B4" s="67" t="s">
        <v>314</v>
      </c>
      <c r="C4" s="68" t="n">
        <v>0.0375</v>
      </c>
      <c r="D4" s="68" t="n">
        <v>0.04</v>
      </c>
      <c r="E4" s="68" t="n">
        <v>0.0425</v>
      </c>
      <c r="F4" s="68" t="n">
        <v>0.045</v>
      </c>
      <c r="G4" s="68" t="n">
        <v>0.0475</v>
      </c>
      <c r="H4" s="68" t="n">
        <v>0.05</v>
      </c>
    </row>
    <row r="5" customFormat="false" ht="15" hidden="false" customHeight="true" outlineLevel="0" collapsed="false">
      <c r="B5" s="69" t="n">
        <v>2400000</v>
      </c>
      <c r="C5" s="70" t="n">
        <v>64000000</v>
      </c>
      <c r="D5" s="70" t="n">
        <v>60000000</v>
      </c>
      <c r="E5" s="70" t="n">
        <v>56470588.2352941</v>
      </c>
      <c r="F5" s="71" t="n">
        <v>53333333.3333333</v>
      </c>
      <c r="G5" s="71" t="n">
        <v>50526315.7894737</v>
      </c>
      <c r="H5" s="71" t="n">
        <v>48000000</v>
      </c>
    </row>
    <row r="6" customFormat="false" ht="15" hidden="false" customHeight="true" outlineLevel="0" collapsed="false">
      <c r="B6" s="69" t="n">
        <v>2600000</v>
      </c>
      <c r="C6" s="72" t="n">
        <v>69333333.3333333</v>
      </c>
      <c r="D6" s="72" t="n">
        <v>65000000</v>
      </c>
      <c r="E6" s="70" t="n">
        <v>61176470.5882353</v>
      </c>
      <c r="F6" s="70" t="n">
        <v>57777777.7777778</v>
      </c>
      <c r="G6" s="71" t="n">
        <v>54736842.1052632</v>
      </c>
      <c r="H6" s="71" t="n">
        <v>52000000</v>
      </c>
    </row>
    <row r="7" customFormat="false" ht="15" hidden="false" customHeight="true" outlineLevel="0" collapsed="false">
      <c r="B7" s="69" t="n">
        <v>2800660</v>
      </c>
      <c r="C7" s="72" t="n">
        <v>74684266.6666667</v>
      </c>
      <c r="D7" s="72" t="n">
        <v>70016500</v>
      </c>
      <c r="E7" s="73" t="n">
        <v>65897882.3529412</v>
      </c>
      <c r="F7" s="70" t="n">
        <v>62236888.8888889</v>
      </c>
      <c r="G7" s="70" t="n">
        <v>58961263.1578947</v>
      </c>
      <c r="H7" s="70" t="n">
        <v>56013200</v>
      </c>
    </row>
    <row r="8" customFormat="false" ht="15" hidden="false" customHeight="true" outlineLevel="0" collapsed="false">
      <c r="B8" s="69" t="n">
        <v>3000000</v>
      </c>
      <c r="C8" s="72" t="n">
        <v>80000000</v>
      </c>
      <c r="D8" s="72" t="n">
        <v>75000000</v>
      </c>
      <c r="E8" s="72" t="n">
        <v>70588235.2941176</v>
      </c>
      <c r="F8" s="72" t="n">
        <v>66666666.6666667</v>
      </c>
      <c r="G8" s="70" t="n">
        <v>63157894.7368421</v>
      </c>
      <c r="H8" s="70" t="n">
        <v>60000000</v>
      </c>
    </row>
    <row r="9" customFormat="false" ht="15" hidden="false" customHeight="true" outlineLevel="0" collapsed="false">
      <c r="B9" s="69" t="n">
        <v>3200000</v>
      </c>
      <c r="C9" s="72" t="n">
        <v>85333333.3333333</v>
      </c>
      <c r="D9" s="72" t="n">
        <v>80000000</v>
      </c>
      <c r="E9" s="72" t="n">
        <v>75294117.6470588</v>
      </c>
      <c r="F9" s="72" t="n">
        <v>71111111.1111111</v>
      </c>
      <c r="G9" s="72" t="n">
        <v>67368421.0526316</v>
      </c>
      <c r="H9" s="70" t="n">
        <v>64000000</v>
      </c>
    </row>
    <row r="10" customFormat="false" ht="15" hidden="false" customHeight="true" outlineLevel="0" collapsed="false">
      <c r="B10" s="69" t="n">
        <v>3400000</v>
      </c>
      <c r="C10" s="72" t="n">
        <v>90666666.6666667</v>
      </c>
      <c r="D10" s="72" t="n">
        <v>85000000</v>
      </c>
      <c r="E10" s="72" t="n">
        <v>80000000</v>
      </c>
      <c r="F10" s="72" t="n">
        <v>75555555.5555556</v>
      </c>
      <c r="G10" s="72" t="n">
        <v>71578947.3684211</v>
      </c>
      <c r="H10" s="72" t="n">
        <v>68000000</v>
      </c>
    </row>
    <row r="12" customFormat="false" ht="15" hidden="false" customHeight="true" outlineLevel="0" collapsed="false">
      <c r="B12" s="16" t="s">
        <v>315</v>
      </c>
      <c r="C12" s="16"/>
      <c r="D12" s="16"/>
      <c r="E12" s="16"/>
      <c r="F12" s="16"/>
      <c r="G12" s="16"/>
      <c r="H12" s="16"/>
    </row>
    <row r="13" customFormat="false" ht="15" hidden="false" customHeight="true" outlineLevel="0" collapsed="false">
      <c r="B13" s="67" t="s">
        <v>316</v>
      </c>
      <c r="C13" s="68" t="n">
        <v>0.035</v>
      </c>
      <c r="D13" s="68" t="n">
        <v>0.04</v>
      </c>
      <c r="E13" s="68" t="n">
        <v>0.045</v>
      </c>
      <c r="F13" s="68" t="n">
        <v>0.05</v>
      </c>
      <c r="G13" s="68" t="n">
        <v>0.055</v>
      </c>
      <c r="H13" s="68" t="n">
        <v>0.06</v>
      </c>
    </row>
    <row r="14" customFormat="false" ht="15" hidden="false" customHeight="true" outlineLevel="0" collapsed="false">
      <c r="B14" s="69" t="n">
        <v>2400000</v>
      </c>
      <c r="C14" s="74" t="n">
        <v>0.894178789158744</v>
      </c>
      <c r="D14" s="74" t="n">
        <v>0.834635955392365</v>
      </c>
      <c r="E14" s="74" t="n">
        <v>0.780877889331035</v>
      </c>
      <c r="F14" s="74" t="n">
        <v>0.732246373053381</v>
      </c>
      <c r="G14" s="74" t="n">
        <v>0.688164834669294</v>
      </c>
      <c r="H14" s="74" t="n">
        <v>0.648127656032303</v>
      </c>
    </row>
    <row r="15" customFormat="false" ht="15" hidden="false" customHeight="true" outlineLevel="0" collapsed="false">
      <c r="B15" s="69" t="n">
        <v>2600000</v>
      </c>
      <c r="C15" s="74" t="n">
        <v>0.968693688255306</v>
      </c>
      <c r="D15" s="74" t="n">
        <v>0.904188951675062</v>
      </c>
      <c r="E15" s="74" t="n">
        <v>0.845951046775288</v>
      </c>
      <c r="F15" s="74" t="n">
        <v>0.793266904141163</v>
      </c>
      <c r="G15" s="74" t="n">
        <v>0.745511904225068</v>
      </c>
      <c r="H15" s="74" t="n">
        <v>0.702138294034994</v>
      </c>
    </row>
    <row r="16" customFormat="false" ht="15" hidden="false" customHeight="true" outlineLevel="0" collapsed="false">
      <c r="B16" s="69" t="n">
        <v>2800660</v>
      </c>
      <c r="C16" s="74" t="n">
        <v>1.04345448651889</v>
      </c>
      <c r="D16" s="74" t="n">
        <v>0.973971472845492</v>
      </c>
      <c r="E16" s="75" t="n">
        <v>0.911238945639107</v>
      </c>
      <c r="F16" s="74" t="n">
        <v>0.854488802981535</v>
      </c>
      <c r="G16" s="74" t="n">
        <v>0.803048219110376</v>
      </c>
      <c r="H16" s="74" t="n">
        <v>0.756327167143095</v>
      </c>
    </row>
    <row r="17" customFormat="false" ht="15" hidden="false" customHeight="true" outlineLevel="0" collapsed="false">
      <c r="B17" s="69" t="n">
        <v>3000000</v>
      </c>
      <c r="C17" s="76" t="n">
        <v>1.11772348644843</v>
      </c>
      <c r="D17" s="74" t="n">
        <v>1.04329494424046</v>
      </c>
      <c r="E17" s="74" t="n">
        <v>0.976097361663794</v>
      </c>
      <c r="F17" s="74" t="n">
        <v>0.915307966316727</v>
      </c>
      <c r="G17" s="74" t="n">
        <v>0.860206043336617</v>
      </c>
      <c r="H17" s="74" t="n">
        <v>0.810159570040378</v>
      </c>
    </row>
    <row r="18" customFormat="false" ht="15" hidden="false" customHeight="true" outlineLevel="0" collapsed="false">
      <c r="B18" s="69" t="n">
        <v>3200000</v>
      </c>
      <c r="C18" s="76" t="n">
        <v>1.19223838554499</v>
      </c>
      <c r="D18" s="76" t="n">
        <v>1.11284794052315</v>
      </c>
      <c r="E18" s="74" t="n">
        <v>1.04117051910805</v>
      </c>
      <c r="F18" s="74" t="n">
        <v>0.976328497404508</v>
      </c>
      <c r="G18" s="74" t="n">
        <v>0.917553112892391</v>
      </c>
      <c r="H18" s="74" t="n">
        <v>0.86417020804307</v>
      </c>
    </row>
    <row r="19" customFormat="false" ht="15" hidden="false" customHeight="true" outlineLevel="0" collapsed="false">
      <c r="B19" s="69" t="n">
        <v>3400000</v>
      </c>
      <c r="C19" s="77" t="n">
        <v>1.26675328464155</v>
      </c>
      <c r="D19" s="76" t="n">
        <v>1.18240093680585</v>
      </c>
      <c r="E19" s="76" t="n">
        <v>1.1062436765523</v>
      </c>
      <c r="F19" s="74" t="n">
        <v>1.03734902849229</v>
      </c>
      <c r="G19" s="74" t="n">
        <v>0.974900182448166</v>
      </c>
      <c r="H19" s="74" t="n">
        <v>0.918180846045762</v>
      </c>
    </row>
    <row r="21" customFormat="false" ht="15" hidden="false" customHeight="true" outlineLevel="0" collapsed="false">
      <c r="B21" s="63" t="s">
        <v>317</v>
      </c>
      <c r="C21" s="63"/>
      <c r="D21" s="63"/>
      <c r="E21" s="63"/>
      <c r="F21" s="63"/>
      <c r="G21" s="63"/>
      <c r="H21" s="63"/>
    </row>
  </sheetData>
  <mergeCells count="5">
    <mergeCell ref="B1:H1"/>
    <mergeCell ref="B2:H2"/>
    <mergeCell ref="B3:H3"/>
    <mergeCell ref="B12:H12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2026-04-13T23:28:49Z</dcterms:created>
  <dc:creator>openpyxl</dc:creator>
  <dc:description/>
  <dc:language>en-US</dc:language>
  <cp:lastModifiedBy/>
  <dcterms:modified xsi:type="dcterms:W3CDTF">2026-04-13T23:29:28Z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