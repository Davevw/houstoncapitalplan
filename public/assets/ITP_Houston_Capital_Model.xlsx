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85e6ca29597c64/Desktop/"/>
    </mc:Choice>
  </mc:AlternateContent>
  <xr:revisionPtr revIDLastSave="0" documentId="8_{8742833C-3D3E-48BA-B721-9343E9C39073}" xr6:coauthVersionLast="47" xr6:coauthVersionMax="47" xr10:uidLastSave="{00000000-0000-0000-0000-000000000000}"/>
  <bookViews>
    <workbookView xWindow="-98" yWindow="-98" windowWidth="21795" windowHeight="13875" tabRatio="500" firstSheet="11" activeTab="15" xr2:uid="{00000000-000D-0000-FFFF-FFFF00000000}"/>
  </bookViews>
  <sheets>
    <sheet name="Cover" sheetId="1" r:id="rId1"/>
    <sheet name="Assumptions" sheetId="2" r:id="rId2"/>
    <sheet name="Total Budget" sheetId="3" r:id="rId3"/>
    <sheet name="Land" sheetId="4" r:id="rId4"/>
    <sheet name="Improvements" sheetId="5" r:id="rId5"/>
    <sheet name="Sources &amp; Uses" sheetId="6" r:id="rId6"/>
    <sheet name="Monthly Cash Flow" sheetId="7" r:id="rId7"/>
    <sheet name="Dev Budget" sheetId="8" r:id="rId8"/>
    <sheet name="Capital Stack" sheetId="9" r:id="rId9"/>
    <sheet name="Pro Forma" sheetId="10" r:id="rId10"/>
    <sheet name="JV Waterfall" sheetId="11" r:id="rId11"/>
    <sheet name="Cap Events" sheetId="12" r:id="rId12"/>
    <sheet name="Balance Sheet" sheetId="13" r:id="rId13"/>
    <sheet name="P&amp;L" sheetId="14" r:id="rId14"/>
    <sheet name="Sensitivity" sheetId="15" r:id="rId15"/>
    <sheet name="📋 User Instructions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14" l="1"/>
  <c r="B38" i="14"/>
  <c r="B37" i="14"/>
  <c r="B36" i="14"/>
  <c r="B35" i="14"/>
  <c r="B34" i="14"/>
  <c r="B26" i="14"/>
  <c r="B22" i="14"/>
  <c r="B21" i="14"/>
  <c r="B17" i="14"/>
  <c r="B16" i="14"/>
  <c r="B15" i="14"/>
  <c r="B14" i="14"/>
  <c r="B13" i="14"/>
  <c r="B12" i="14"/>
  <c r="B8" i="14"/>
  <c r="D22" i="13"/>
  <c r="C22" i="13"/>
  <c r="B22" i="13"/>
  <c r="B21" i="13"/>
  <c r="B20" i="13"/>
  <c r="B19" i="13"/>
  <c r="D15" i="13"/>
  <c r="C15" i="13"/>
  <c r="B15" i="13"/>
  <c r="D14" i="13"/>
  <c r="D16" i="13" s="1"/>
  <c r="C14" i="13"/>
  <c r="C16" i="13" s="1"/>
  <c r="B14" i="13"/>
  <c r="B16" i="13" s="1"/>
  <c r="D10" i="13"/>
  <c r="C10" i="13"/>
  <c r="B10" i="13"/>
  <c r="D9" i="13"/>
  <c r="C9" i="13"/>
  <c r="B9" i="13"/>
  <c r="D8" i="13"/>
  <c r="B8" i="13"/>
  <c r="D7" i="13"/>
  <c r="D11" i="13" s="1"/>
  <c r="C7" i="13"/>
  <c r="B7" i="13"/>
  <c r="B11" i="13" s="1"/>
  <c r="B9" i="12"/>
  <c r="B8" i="12"/>
  <c r="F7" i="12"/>
  <c r="B7" i="12"/>
  <c r="F6" i="12"/>
  <c r="B19" i="11"/>
  <c r="B20" i="11" s="1"/>
  <c r="B11" i="11"/>
  <c r="C10" i="11"/>
  <c r="B10" i="11"/>
  <c r="C9" i="11"/>
  <c r="B9" i="11"/>
  <c r="D6" i="11"/>
  <c r="B6" i="11"/>
  <c r="D37" i="10"/>
  <c r="C37" i="10"/>
  <c r="B37" i="10"/>
  <c r="D36" i="10"/>
  <c r="C36" i="10"/>
  <c r="B36" i="10"/>
  <c r="D35" i="10"/>
  <c r="C35" i="10"/>
  <c r="B35" i="10"/>
  <c r="G30" i="10"/>
  <c r="C30" i="10"/>
  <c r="F29" i="10"/>
  <c r="E29" i="10"/>
  <c r="D29" i="10"/>
  <c r="C29" i="10"/>
  <c r="B29" i="10"/>
  <c r="F28" i="10"/>
  <c r="E28" i="10"/>
  <c r="D28" i="10"/>
  <c r="C28" i="10"/>
  <c r="B28" i="10"/>
  <c r="F27" i="10"/>
  <c r="F30" i="10" s="1"/>
  <c r="G28" i="10" s="1"/>
  <c r="E27" i="10"/>
  <c r="D27" i="10"/>
  <c r="D30" i="10" s="1"/>
  <c r="C27" i="10"/>
  <c r="B27" i="10"/>
  <c r="B30" i="10" s="1"/>
  <c r="B14" i="10"/>
  <c r="B13" i="10"/>
  <c r="B8" i="10"/>
  <c r="C30" i="9"/>
  <c r="B30" i="9"/>
  <c r="D29" i="9"/>
  <c r="B29" i="9"/>
  <c r="C29" i="9" s="1"/>
  <c r="D28" i="9"/>
  <c r="B28" i="9"/>
  <c r="C28" i="9" s="1"/>
  <c r="C27" i="9"/>
  <c r="B27" i="9"/>
  <c r="B23" i="9"/>
  <c r="B21" i="9"/>
  <c r="B18" i="9"/>
  <c r="B17" i="9"/>
  <c r="B16" i="9"/>
  <c r="B15" i="9"/>
  <c r="B14" i="9"/>
  <c r="B13" i="9"/>
  <c r="B10" i="9"/>
  <c r="B9" i="9"/>
  <c r="B8" i="9"/>
  <c r="B7" i="9"/>
  <c r="B6" i="9"/>
  <c r="D26" i="8"/>
  <c r="B26" i="8"/>
  <c r="B25" i="8"/>
  <c r="D25" i="8" s="1"/>
  <c r="B24" i="8"/>
  <c r="D24" i="8" s="1"/>
  <c r="B23" i="8"/>
  <c r="D23" i="8" s="1"/>
  <c r="D22" i="8"/>
  <c r="B22" i="8"/>
  <c r="B21" i="8"/>
  <c r="B27" i="8" s="1"/>
  <c r="B18" i="8"/>
  <c r="D18" i="8" s="1"/>
  <c r="D17" i="8"/>
  <c r="B16" i="8"/>
  <c r="D16" i="8" s="1"/>
  <c r="B15" i="8"/>
  <c r="B17" i="8" s="1"/>
  <c r="D12" i="8"/>
  <c r="B12" i="8"/>
  <c r="B11" i="8"/>
  <c r="D11" i="8" s="1"/>
  <c r="B10" i="8"/>
  <c r="D10" i="8" s="1"/>
  <c r="B9" i="8"/>
  <c r="D9" i="8" s="1"/>
  <c r="G8" i="8"/>
  <c r="B8" i="8"/>
  <c r="D8" i="8" s="1"/>
  <c r="G7" i="8"/>
  <c r="B7" i="8"/>
  <c r="B13" i="8" s="1"/>
  <c r="C8" i="13" s="1"/>
  <c r="G6" i="8"/>
  <c r="G9" i="8" s="1"/>
  <c r="AY27" i="7"/>
  <c r="AR27" i="7"/>
  <c r="AN27" i="7"/>
  <c r="AM27" i="7"/>
  <c r="H27" i="7"/>
  <c r="AY25" i="7"/>
  <c r="AX25" i="7"/>
  <c r="AW25" i="7"/>
  <c r="AV25" i="7"/>
  <c r="AU25" i="7"/>
  <c r="AT25" i="7"/>
  <c r="AS25" i="7"/>
  <c r="AR25" i="7"/>
  <c r="AQ25" i="7"/>
  <c r="AQ27" i="7" s="1"/>
  <c r="AP25" i="7"/>
  <c r="AO25" i="7"/>
  <c r="AN25" i="7"/>
  <c r="AM25" i="7"/>
  <c r="AL25" i="7"/>
  <c r="AK25" i="7"/>
  <c r="AJ25" i="7"/>
  <c r="AI25" i="7"/>
  <c r="AH25" i="7"/>
  <c r="AG25" i="7"/>
  <c r="AF25" i="7"/>
  <c r="AE25" i="7"/>
  <c r="AE27" i="7" s="1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Z24" i="7"/>
  <c r="V24" i="7"/>
  <c r="AZ23" i="7"/>
  <c r="AZ25" i="7" s="1"/>
  <c r="P23" i="7"/>
  <c r="P25" i="7" s="1"/>
  <c r="AY21" i="7"/>
  <c r="AX21" i="7"/>
  <c r="AW21" i="7"/>
  <c r="AW27" i="7" s="1"/>
  <c r="AV21" i="7"/>
  <c r="AU21" i="7"/>
  <c r="AT21" i="7"/>
  <c r="AS21" i="7"/>
  <c r="AR21" i="7"/>
  <c r="AQ21" i="7"/>
  <c r="AP21" i="7"/>
  <c r="AO21" i="7"/>
  <c r="AN21" i="7"/>
  <c r="AM21" i="7"/>
  <c r="AL21" i="7"/>
  <c r="AK21" i="7"/>
  <c r="AK27" i="7" s="1"/>
  <c r="AJ21" i="7"/>
  <c r="AI21" i="7"/>
  <c r="AI27" i="7" s="1"/>
  <c r="AH21" i="7"/>
  <c r="AG21" i="7"/>
  <c r="AF21" i="7"/>
  <c r="AE21" i="7"/>
  <c r="AD21" i="7"/>
  <c r="AC21" i="7"/>
  <c r="AB21" i="7"/>
  <c r="AA21" i="7"/>
  <c r="Z21" i="7"/>
  <c r="Y21" i="7"/>
  <c r="Y27" i="7" s="1"/>
  <c r="X21" i="7"/>
  <c r="V21" i="7"/>
  <c r="R21" i="7"/>
  <c r="J21" i="7"/>
  <c r="F21" i="7"/>
  <c r="E21" i="7"/>
  <c r="D21" i="7"/>
  <c r="C21" i="7"/>
  <c r="B21" i="7"/>
  <c r="W20" i="7"/>
  <c r="V20" i="7"/>
  <c r="U20" i="7"/>
  <c r="T20" i="7"/>
  <c r="S20" i="7"/>
  <c r="R20" i="7"/>
  <c r="Q20" i="7"/>
  <c r="Q21" i="7" s="1"/>
  <c r="P20" i="7"/>
  <c r="O20" i="7"/>
  <c r="N20" i="7"/>
  <c r="M20" i="7"/>
  <c r="M21" i="7" s="1"/>
  <c r="M27" i="7" s="1"/>
  <c r="L20" i="7"/>
  <c r="AZ20" i="7" s="1"/>
  <c r="K20" i="7"/>
  <c r="J20" i="7"/>
  <c r="I20" i="7"/>
  <c r="H20" i="7"/>
  <c r="G20" i="7"/>
  <c r="F20" i="7"/>
  <c r="W19" i="7"/>
  <c r="V19" i="7"/>
  <c r="U19" i="7"/>
  <c r="T19" i="7"/>
  <c r="T21" i="7" s="1"/>
  <c r="T27" i="7" s="1"/>
  <c r="S19" i="7"/>
  <c r="R19" i="7"/>
  <c r="Q19" i="7"/>
  <c r="P19" i="7"/>
  <c r="O19" i="7"/>
  <c r="N19" i="7"/>
  <c r="M19" i="7"/>
  <c r="L19" i="7"/>
  <c r="K19" i="7"/>
  <c r="J19" i="7"/>
  <c r="I19" i="7"/>
  <c r="H19" i="7"/>
  <c r="H21" i="7" s="1"/>
  <c r="G19" i="7"/>
  <c r="AZ19" i="7" s="1"/>
  <c r="F19" i="7"/>
  <c r="W18" i="7"/>
  <c r="W21" i="7" s="1"/>
  <c r="W27" i="7" s="1"/>
  <c r="V18" i="7"/>
  <c r="U18" i="7"/>
  <c r="U21" i="7" s="1"/>
  <c r="T18" i="7"/>
  <c r="S18" i="7"/>
  <c r="R18" i="7"/>
  <c r="Q18" i="7"/>
  <c r="P18" i="7"/>
  <c r="P21" i="7" s="1"/>
  <c r="P27" i="7" s="1"/>
  <c r="O18" i="7"/>
  <c r="O21" i="7" s="1"/>
  <c r="N18" i="7"/>
  <c r="N21" i="7" s="1"/>
  <c r="N27" i="7" s="1"/>
  <c r="M18" i="7"/>
  <c r="L18" i="7"/>
  <c r="L21" i="7" s="1"/>
  <c r="K18" i="7"/>
  <c r="K21" i="7" s="1"/>
  <c r="K27" i="7" s="1"/>
  <c r="J18" i="7"/>
  <c r="I18" i="7"/>
  <c r="I21" i="7" s="1"/>
  <c r="H18" i="7"/>
  <c r="G18" i="7"/>
  <c r="F18" i="7"/>
  <c r="AZ18" i="7" s="1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I16" i="7"/>
  <c r="AD16" i="7"/>
  <c r="AC16" i="7"/>
  <c r="Z16" i="7"/>
  <c r="Y16" i="7"/>
  <c r="W16" i="7"/>
  <c r="R16" i="7"/>
  <c r="Q16" i="7"/>
  <c r="N16" i="7"/>
  <c r="M16" i="7"/>
  <c r="F16" i="7"/>
  <c r="E16" i="7"/>
  <c r="M15" i="7"/>
  <c r="L15" i="7"/>
  <c r="K15" i="7"/>
  <c r="K16" i="7" s="1"/>
  <c r="J15" i="7"/>
  <c r="I15" i="7"/>
  <c r="H15" i="7"/>
  <c r="G15" i="7"/>
  <c r="F15" i="7"/>
  <c r="E15" i="7"/>
  <c r="D15" i="7"/>
  <c r="C15" i="7"/>
  <c r="B15" i="7"/>
  <c r="B16" i="7" s="1"/>
  <c r="AK14" i="7"/>
  <c r="AJ14" i="7"/>
  <c r="AJ16" i="7" s="1"/>
  <c r="AI14" i="7"/>
  <c r="AH14" i="7"/>
  <c r="AH16" i="7" s="1"/>
  <c r="AG14" i="7"/>
  <c r="AG16" i="7" s="1"/>
  <c r="AF14" i="7"/>
  <c r="AF16" i="7" s="1"/>
  <c r="AF27" i="7" s="1"/>
  <c r="AE14" i="7"/>
  <c r="AE16" i="7" s="1"/>
  <c r="AD14" i="7"/>
  <c r="AC14" i="7"/>
  <c r="AB14" i="7"/>
  <c r="AB16" i="7" s="1"/>
  <c r="AA14" i="7"/>
  <c r="AA16" i="7" s="1"/>
  <c r="AA27" i="7" s="1"/>
  <c r="Z14" i="7"/>
  <c r="Y14" i="7"/>
  <c r="X14" i="7"/>
  <c r="X16" i="7" s="1"/>
  <c r="W14" i="7"/>
  <c r="V14" i="7"/>
  <c r="V16" i="7" s="1"/>
  <c r="U14" i="7"/>
  <c r="U16" i="7" s="1"/>
  <c r="T14" i="7"/>
  <c r="T16" i="7" s="1"/>
  <c r="S14" i="7"/>
  <c r="S16" i="7" s="1"/>
  <c r="R14" i="7"/>
  <c r="Q14" i="7"/>
  <c r="P14" i="7"/>
  <c r="P16" i="7" s="1"/>
  <c r="O14" i="7"/>
  <c r="O16" i="7" s="1"/>
  <c r="N14" i="7"/>
  <c r="M14" i="7"/>
  <c r="L14" i="7"/>
  <c r="L16" i="7" s="1"/>
  <c r="K14" i="7"/>
  <c r="J14" i="7"/>
  <c r="J16" i="7" s="1"/>
  <c r="I14" i="7"/>
  <c r="I16" i="7" s="1"/>
  <c r="H14" i="7"/>
  <c r="H16" i="7" s="1"/>
  <c r="G14" i="7"/>
  <c r="G16" i="7" s="1"/>
  <c r="F14" i="7"/>
  <c r="E14" i="7"/>
  <c r="D14" i="7"/>
  <c r="D16" i="7" s="1"/>
  <c r="C14" i="7"/>
  <c r="C16" i="7" s="1"/>
  <c r="B14" i="7"/>
  <c r="AZ14" i="7" s="1"/>
  <c r="AY12" i="7"/>
  <c r="AU12" i="7"/>
  <c r="AR12" i="7"/>
  <c r="AQ12" i="7"/>
  <c r="AP12" i="7"/>
  <c r="AI12" i="7"/>
  <c r="AF12" i="7"/>
  <c r="AE12" i="7"/>
  <c r="AD12" i="7"/>
  <c r="W12" i="7"/>
  <c r="S12" i="7"/>
  <c r="R12" i="7"/>
  <c r="K12" i="7"/>
  <c r="G12" i="7"/>
  <c r="AY11" i="7"/>
  <c r="AX11" i="7"/>
  <c r="AX12" i="7" s="1"/>
  <c r="AW11" i="7"/>
  <c r="AW12" i="7" s="1"/>
  <c r="AV11" i="7"/>
  <c r="AU11" i="7"/>
  <c r="AT11" i="7"/>
  <c r="AS11" i="7"/>
  <c r="AR11" i="7"/>
  <c r="AQ11" i="7"/>
  <c r="AP11" i="7"/>
  <c r="AO11" i="7"/>
  <c r="AN11" i="7"/>
  <c r="AM11" i="7"/>
  <c r="AL11" i="7"/>
  <c r="AK11" i="7"/>
  <c r="AK12" i="7" s="1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W10" i="7"/>
  <c r="AV10" i="7"/>
  <c r="AV12" i="7" s="1"/>
  <c r="AV27" i="7" s="1"/>
  <c r="AU10" i="7"/>
  <c r="AT10" i="7"/>
  <c r="AT12" i="7" s="1"/>
  <c r="AS10" i="7"/>
  <c r="AS12" i="7" s="1"/>
  <c r="AS27" i="7" s="1"/>
  <c r="AR10" i="7"/>
  <c r="AQ10" i="7"/>
  <c r="AP10" i="7"/>
  <c r="AO10" i="7"/>
  <c r="AO12" i="7" s="1"/>
  <c r="AN10" i="7"/>
  <c r="AN12" i="7" s="1"/>
  <c r="AM10" i="7"/>
  <c r="AM12" i="7" s="1"/>
  <c r="AL10" i="7"/>
  <c r="AL12" i="7" s="1"/>
  <c r="AK10" i="7"/>
  <c r="AJ10" i="7"/>
  <c r="AJ12" i="7" s="1"/>
  <c r="AI10" i="7"/>
  <c r="AH10" i="7"/>
  <c r="AH12" i="7" s="1"/>
  <c r="AG10" i="7"/>
  <c r="AG12" i="7" s="1"/>
  <c r="AG27" i="7" s="1"/>
  <c r="AF10" i="7"/>
  <c r="AE10" i="7"/>
  <c r="AD10" i="7"/>
  <c r="AC10" i="7"/>
  <c r="AB10" i="7"/>
  <c r="AA10" i="7"/>
  <c r="AA12" i="7" s="1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D12" i="7" s="1"/>
  <c r="D27" i="7" s="1"/>
  <c r="C10" i="7"/>
  <c r="B10" i="7"/>
  <c r="AE9" i="7"/>
  <c r="AD9" i="7"/>
  <c r="AC9" i="7"/>
  <c r="AC12" i="7" s="1"/>
  <c r="AB9" i="7"/>
  <c r="AB12" i="7" s="1"/>
  <c r="AB27" i="7" s="1"/>
  <c r="AA9" i="7"/>
  <c r="Z9" i="7"/>
  <c r="Z12" i="7" s="1"/>
  <c r="Y9" i="7"/>
  <c r="X9" i="7"/>
  <c r="X12" i="7" s="1"/>
  <c r="W9" i="7"/>
  <c r="V9" i="7"/>
  <c r="U9" i="7"/>
  <c r="T9" i="7"/>
  <c r="S9" i="7"/>
  <c r="R9" i="7"/>
  <c r="Q9" i="7"/>
  <c r="P9" i="7"/>
  <c r="P12" i="7" s="1"/>
  <c r="O9" i="7"/>
  <c r="N9" i="7"/>
  <c r="M9" i="7"/>
  <c r="L9" i="7"/>
  <c r="K9" i="7"/>
  <c r="J9" i="7"/>
  <c r="I9" i="7"/>
  <c r="H9" i="7"/>
  <c r="G9" i="7"/>
  <c r="Y8" i="7"/>
  <c r="Y12" i="7" s="1"/>
  <c r="X8" i="7"/>
  <c r="W8" i="7"/>
  <c r="V8" i="7"/>
  <c r="U8" i="7"/>
  <c r="U12" i="7" s="1"/>
  <c r="T8" i="7"/>
  <c r="T12" i="7" s="1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F12" i="7" s="1"/>
  <c r="E8" i="7"/>
  <c r="D8" i="7"/>
  <c r="C8" i="7"/>
  <c r="B8" i="7"/>
  <c r="AZ8" i="7" s="1"/>
  <c r="S7" i="7"/>
  <c r="R7" i="7"/>
  <c r="Q7" i="7"/>
  <c r="Q12" i="7" s="1"/>
  <c r="P7" i="7"/>
  <c r="O7" i="7"/>
  <c r="O12" i="7" s="1"/>
  <c r="O27" i="7" s="1"/>
  <c r="N7" i="7"/>
  <c r="N12" i="7" s="1"/>
  <c r="M7" i="7"/>
  <c r="L7" i="7"/>
  <c r="K7" i="7"/>
  <c r="J7" i="7"/>
  <c r="I7" i="7"/>
  <c r="H7" i="7"/>
  <c r="AZ7" i="7" s="1"/>
  <c r="G7" i="7"/>
  <c r="F7" i="7"/>
  <c r="E7" i="7"/>
  <c r="D7" i="7"/>
  <c r="C7" i="7"/>
  <c r="M6" i="7"/>
  <c r="M12" i="7" s="1"/>
  <c r="L6" i="7"/>
  <c r="L12" i="7" s="1"/>
  <c r="K6" i="7"/>
  <c r="J6" i="7"/>
  <c r="I6" i="7"/>
  <c r="H6" i="7"/>
  <c r="H12" i="7" s="1"/>
  <c r="G6" i="7"/>
  <c r="F6" i="7"/>
  <c r="E6" i="7"/>
  <c r="E12" i="7" s="1"/>
  <c r="D6" i="7"/>
  <c r="C6" i="7"/>
  <c r="C12" i="7" s="1"/>
  <c r="C27" i="7" s="1"/>
  <c r="B6" i="7"/>
  <c r="B12" i="7" s="1"/>
  <c r="B35" i="6"/>
  <c r="C30" i="6"/>
  <c r="C29" i="6"/>
  <c r="B28" i="6"/>
  <c r="B27" i="6"/>
  <c r="B26" i="6"/>
  <c r="B25" i="6"/>
  <c r="B24" i="6"/>
  <c r="B23" i="6"/>
  <c r="F20" i="6"/>
  <c r="F19" i="6"/>
  <c r="C19" i="6"/>
  <c r="B18" i="6"/>
  <c r="B17" i="6"/>
  <c r="F16" i="6"/>
  <c r="F15" i="6"/>
  <c r="C15" i="6"/>
  <c r="B15" i="6"/>
  <c r="B14" i="6"/>
  <c r="F13" i="6"/>
  <c r="B13" i="6"/>
  <c r="F12" i="6"/>
  <c r="B12" i="6"/>
  <c r="F11" i="6"/>
  <c r="B11" i="6"/>
  <c r="B10" i="6"/>
  <c r="F9" i="6"/>
  <c r="B9" i="6"/>
  <c r="F7" i="6"/>
  <c r="B7" i="6"/>
  <c r="E31" i="5"/>
  <c r="D31" i="5"/>
  <c r="B31" i="5"/>
  <c r="B30" i="5"/>
  <c r="E30" i="5" s="1"/>
  <c r="E29" i="5"/>
  <c r="B29" i="5"/>
  <c r="D29" i="5" s="1"/>
  <c r="B28" i="5"/>
  <c r="E28" i="5" s="1"/>
  <c r="E22" i="5"/>
  <c r="D21" i="5"/>
  <c r="C21" i="5"/>
  <c r="C20" i="5"/>
  <c r="B20" i="5"/>
  <c r="D20" i="5" s="1"/>
  <c r="B19" i="5"/>
  <c r="D19" i="5" s="1"/>
  <c r="D18" i="5"/>
  <c r="C18" i="5"/>
  <c r="B17" i="5"/>
  <c r="B16" i="5"/>
  <c r="E16" i="5" s="1"/>
  <c r="E12" i="5"/>
  <c r="H11" i="5"/>
  <c r="C11" i="5"/>
  <c r="B11" i="5"/>
  <c r="D11" i="5" s="1"/>
  <c r="H10" i="5"/>
  <c r="D10" i="5"/>
  <c r="C10" i="5"/>
  <c r="B10" i="5"/>
  <c r="H9" i="5"/>
  <c r="B9" i="5"/>
  <c r="D9" i="5" s="1"/>
  <c r="H8" i="5"/>
  <c r="B8" i="5"/>
  <c r="D8" i="5" s="1"/>
  <c r="H7" i="5"/>
  <c r="D7" i="5"/>
  <c r="C7" i="5"/>
  <c r="B7" i="5"/>
  <c r="H6" i="5"/>
  <c r="D6" i="5"/>
  <c r="C6" i="5"/>
  <c r="B6" i="5"/>
  <c r="G36" i="4"/>
  <c r="F36" i="4"/>
  <c r="D36" i="4"/>
  <c r="F35" i="4"/>
  <c r="E35" i="4"/>
  <c r="D35" i="4"/>
  <c r="C35" i="4"/>
  <c r="B35" i="4"/>
  <c r="F34" i="4"/>
  <c r="E34" i="4"/>
  <c r="D34" i="4"/>
  <c r="C34" i="4"/>
  <c r="B34" i="4"/>
  <c r="G33" i="4"/>
  <c r="G34" i="4" s="1"/>
  <c r="G35" i="4" s="1"/>
  <c r="F33" i="4"/>
  <c r="E33" i="4"/>
  <c r="D33" i="4"/>
  <c r="C33" i="4"/>
  <c r="B33" i="4"/>
  <c r="B26" i="4"/>
  <c r="B25" i="4"/>
  <c r="B24" i="4"/>
  <c r="B23" i="4"/>
  <c r="B22" i="4"/>
  <c r="E18" i="4"/>
  <c r="C18" i="4"/>
  <c r="H17" i="4"/>
  <c r="I17" i="4" s="1"/>
  <c r="G17" i="4"/>
  <c r="E17" i="4"/>
  <c r="C17" i="4"/>
  <c r="D17" i="4" s="1"/>
  <c r="F17" i="4" s="1"/>
  <c r="B17" i="4"/>
  <c r="H16" i="4"/>
  <c r="I16" i="4" s="1"/>
  <c r="G16" i="4"/>
  <c r="C16" i="4"/>
  <c r="E16" i="4" s="1"/>
  <c r="B16" i="4"/>
  <c r="B18" i="4" s="1"/>
  <c r="H15" i="4"/>
  <c r="G15" i="4"/>
  <c r="C15" i="4"/>
  <c r="E15" i="4" s="1"/>
  <c r="B15" i="4"/>
  <c r="B11" i="4"/>
  <c r="B10" i="4"/>
  <c r="B9" i="4"/>
  <c r="B8" i="4"/>
  <c r="D7" i="4"/>
  <c r="B7" i="4"/>
  <c r="B6" i="4"/>
  <c r="B5" i="4"/>
  <c r="B45" i="3"/>
  <c r="D45" i="3" s="1"/>
  <c r="B44" i="3"/>
  <c r="C44" i="3" s="1"/>
  <c r="D43" i="3"/>
  <c r="C43" i="3"/>
  <c r="B43" i="3"/>
  <c r="D42" i="3"/>
  <c r="C42" i="3"/>
  <c r="B42" i="3"/>
  <c r="B41" i="3"/>
  <c r="C41" i="3" s="1"/>
  <c r="D40" i="3"/>
  <c r="C40" i="3"/>
  <c r="B40" i="3"/>
  <c r="B36" i="3"/>
  <c r="C36" i="3" s="1"/>
  <c r="D35" i="3"/>
  <c r="C35" i="3"/>
  <c r="D34" i="3"/>
  <c r="C34" i="3"/>
  <c r="D33" i="3"/>
  <c r="C33" i="3"/>
  <c r="D32" i="3"/>
  <c r="C32" i="3"/>
  <c r="D31" i="3"/>
  <c r="C31" i="3"/>
  <c r="D27" i="3"/>
  <c r="C27" i="3"/>
  <c r="D26" i="3"/>
  <c r="C26" i="3"/>
  <c r="D25" i="3"/>
  <c r="C25" i="3"/>
  <c r="B24" i="3"/>
  <c r="D24" i="3" s="1"/>
  <c r="B23" i="3"/>
  <c r="C23" i="3" s="1"/>
  <c r="F20" i="3"/>
  <c r="D20" i="3"/>
  <c r="B20" i="3"/>
  <c r="C20" i="3" s="1"/>
  <c r="D19" i="3"/>
  <c r="B19" i="3"/>
  <c r="C19" i="3" s="1"/>
  <c r="B18" i="3"/>
  <c r="D18" i="3" s="1"/>
  <c r="B17" i="3"/>
  <c r="D17" i="3" s="1"/>
  <c r="B16" i="3"/>
  <c r="B15" i="3"/>
  <c r="D15" i="3" s="1"/>
  <c r="D14" i="3"/>
  <c r="C14" i="3"/>
  <c r="B14" i="3"/>
  <c r="C11" i="3"/>
  <c r="B11" i="3"/>
  <c r="D11" i="3" s="1"/>
  <c r="D10" i="3"/>
  <c r="C10" i="3"/>
  <c r="D9" i="3"/>
  <c r="C9" i="3"/>
  <c r="D8" i="3"/>
  <c r="C8" i="3"/>
  <c r="D7" i="3"/>
  <c r="C7" i="3"/>
  <c r="B7" i="3"/>
  <c r="B40" i="2"/>
  <c r="B35" i="2"/>
  <c r="C34" i="2"/>
  <c r="C33" i="2"/>
  <c r="F17" i="2"/>
  <c r="E17" i="2"/>
  <c r="B37" i="6" s="1"/>
  <c r="C17" i="2"/>
  <c r="B17" i="2"/>
  <c r="F16" i="2"/>
  <c r="F15" i="2"/>
  <c r="F14" i="2"/>
  <c r="C15" i="3" l="1"/>
  <c r="L27" i="7"/>
  <c r="AZ15" i="7"/>
  <c r="AZ16" i="7" s="1"/>
  <c r="AU27" i="7"/>
  <c r="X27" i="7"/>
  <c r="D16" i="4"/>
  <c r="F16" i="4" s="1"/>
  <c r="F18" i="3"/>
  <c r="C30" i="2"/>
  <c r="E6" i="5"/>
  <c r="C29" i="2"/>
  <c r="F17" i="3"/>
  <c r="B39" i="6"/>
  <c r="E10" i="5"/>
  <c r="B18" i="14"/>
  <c r="F16" i="3"/>
  <c r="C32" i="2"/>
  <c r="B12" i="5"/>
  <c r="E9" i="5"/>
  <c r="C31" i="2"/>
  <c r="E11" i="5"/>
  <c r="F15" i="3"/>
  <c r="F19" i="3"/>
  <c r="E7" i="5"/>
  <c r="C19" i="5"/>
  <c r="B27" i="7"/>
  <c r="Z27" i="7"/>
  <c r="AL27" i="7"/>
  <c r="AX27" i="7"/>
  <c r="B28" i="14"/>
  <c r="D27" i="8"/>
  <c r="B40" i="14"/>
  <c r="B16" i="10"/>
  <c r="B23" i="14"/>
  <c r="B19" i="6"/>
  <c r="D16" i="3"/>
  <c r="C16" i="3"/>
  <c r="AH27" i="7"/>
  <c r="AT27" i="7"/>
  <c r="C8" i="5"/>
  <c r="D30" i="5"/>
  <c r="B29" i="6"/>
  <c r="E27" i="7"/>
  <c r="AC27" i="7"/>
  <c r="AO27" i="7"/>
  <c r="G29" i="10"/>
  <c r="D13" i="8"/>
  <c r="B12" i="10"/>
  <c r="B30" i="8"/>
  <c r="B13" i="11" s="1"/>
  <c r="B19" i="8"/>
  <c r="B22" i="5"/>
  <c r="I12" i="7"/>
  <c r="G21" i="7"/>
  <c r="G27" i="7" s="1"/>
  <c r="C45" i="3"/>
  <c r="F21" i="6"/>
  <c r="AZ10" i="7"/>
  <c r="AZ11" i="7"/>
  <c r="C11" i="13"/>
  <c r="D16" i="5"/>
  <c r="C16" i="5"/>
  <c r="AZ9" i="7"/>
  <c r="S21" i="7"/>
  <c r="S27" i="7" s="1"/>
  <c r="B28" i="3"/>
  <c r="B28" i="4"/>
  <c r="C18" i="3"/>
  <c r="C24" i="3"/>
  <c r="H18" i="4"/>
  <c r="I18" i="4" s="1"/>
  <c r="B29" i="4"/>
  <c r="C17" i="5"/>
  <c r="D17" i="5"/>
  <c r="I27" i="7"/>
  <c r="U27" i="7"/>
  <c r="J27" i="7"/>
  <c r="C17" i="3"/>
  <c r="E8" i="5"/>
  <c r="AJ27" i="7"/>
  <c r="AZ21" i="7"/>
  <c r="Q27" i="7"/>
  <c r="F27" i="7"/>
  <c r="AD27" i="7"/>
  <c r="AP27" i="7"/>
  <c r="D15" i="4"/>
  <c r="B6" i="10"/>
  <c r="F17" i="6"/>
  <c r="B9" i="14"/>
  <c r="B5" i="10"/>
  <c r="B7" i="14"/>
  <c r="B6" i="14"/>
  <c r="B35" i="9"/>
  <c r="B5" i="14"/>
  <c r="B34" i="9"/>
  <c r="B27" i="4"/>
  <c r="B33" i="9"/>
  <c r="B9" i="10"/>
  <c r="B36" i="6"/>
  <c r="B7" i="10"/>
  <c r="B28" i="8"/>
  <c r="F14" i="3"/>
  <c r="I15" i="4"/>
  <c r="J12" i="7"/>
  <c r="V12" i="7"/>
  <c r="V27" i="7" s="1"/>
  <c r="R27" i="7"/>
  <c r="C9" i="5"/>
  <c r="D23" i="3"/>
  <c r="D36" i="3"/>
  <c r="D41" i="3"/>
  <c r="D44" i="3"/>
  <c r="D7" i="8"/>
  <c r="D15" i="8"/>
  <c r="D21" i="8"/>
  <c r="G27" i="10"/>
  <c r="AZ6" i="7"/>
  <c r="AZ12" i="7" s="1"/>
  <c r="D28" i="5"/>
  <c r="C15" i="11" l="1"/>
  <c r="B14" i="11"/>
  <c r="B21" i="10"/>
  <c r="D28" i="3"/>
  <c r="C28" i="3"/>
  <c r="B24" i="5"/>
  <c r="C12" i="5"/>
  <c r="D12" i="5"/>
  <c r="F15" i="4"/>
  <c r="D18" i="4"/>
  <c r="D22" i="5"/>
  <c r="C22" i="5"/>
  <c r="E18" i="5"/>
  <c r="B46" i="14"/>
  <c r="B27" i="14"/>
  <c r="C19" i="11"/>
  <c r="B15" i="10"/>
  <c r="B21" i="6"/>
  <c r="D19" i="8"/>
  <c r="B29" i="14"/>
  <c r="B39" i="3"/>
  <c r="C11" i="11"/>
  <c r="B42" i="14"/>
  <c r="B45" i="14" s="1"/>
  <c r="B31" i="14"/>
  <c r="B30" i="6"/>
  <c r="C27" i="8"/>
  <c r="C23" i="8"/>
  <c r="C18" i="8"/>
  <c r="C13" i="8"/>
  <c r="B10" i="12"/>
  <c r="B18" i="10"/>
  <c r="C9" i="8"/>
  <c r="C26" i="8"/>
  <c r="C22" i="8"/>
  <c r="C17" i="8"/>
  <c r="C12" i="8"/>
  <c r="B41" i="6"/>
  <c r="F8" i="12"/>
  <c r="F9" i="12" s="1"/>
  <c r="B40" i="6"/>
  <c r="D30" i="8"/>
  <c r="C8" i="8"/>
  <c r="C28" i="8"/>
  <c r="C24" i="8"/>
  <c r="C19" i="8"/>
  <c r="C15" i="8"/>
  <c r="C10" i="8"/>
  <c r="C7" i="8"/>
  <c r="B34" i="6"/>
  <c r="B36" i="9"/>
  <c r="C11" i="8"/>
  <c r="C16" i="8"/>
  <c r="C25" i="8"/>
  <c r="B42" i="6"/>
  <c r="C21" i="8"/>
  <c r="C30" i="8"/>
  <c r="B38" i="6"/>
  <c r="E19" i="5"/>
  <c r="AZ28" i="7"/>
  <c r="B28" i="7"/>
  <c r="E17" i="5"/>
  <c r="AZ27" i="7"/>
  <c r="B46" i="3"/>
  <c r="D28" i="8"/>
  <c r="B17" i="10"/>
  <c r="B37" i="9"/>
  <c r="C24" i="5" l="1"/>
  <c r="D24" i="5"/>
  <c r="E21" i="5"/>
  <c r="C20" i="11"/>
  <c r="D20" i="11" s="1"/>
  <c r="D19" i="11"/>
  <c r="B47" i="3"/>
  <c r="D39" i="3"/>
  <c r="C39" i="3"/>
  <c r="D46" i="3"/>
  <c r="C46" i="3"/>
  <c r="F11" i="12"/>
  <c r="F10" i="12"/>
  <c r="B22" i="10"/>
  <c r="B23" i="10"/>
  <c r="C24" i="6"/>
  <c r="C23" i="6"/>
  <c r="C12" i="6"/>
  <c r="C21" i="6"/>
  <c r="C11" i="6"/>
  <c r="C27" i="6"/>
  <c r="C25" i="6"/>
  <c r="C9" i="6"/>
  <c r="C18" i="6"/>
  <c r="C13" i="6"/>
  <c r="C7" i="6"/>
  <c r="C17" i="6"/>
  <c r="C14" i="6"/>
  <c r="C28" i="6"/>
  <c r="C10" i="6"/>
  <c r="C26" i="6"/>
  <c r="E20" i="5"/>
  <c r="C28" i="7"/>
  <c r="B29" i="7"/>
  <c r="C47" i="3" l="1"/>
  <c r="D47" i="3"/>
  <c r="B49" i="3"/>
  <c r="B57" i="3"/>
  <c r="C29" i="7"/>
  <c r="D28" i="7"/>
  <c r="D29" i="7" l="1"/>
  <c r="E28" i="7"/>
  <c r="E26" i="3"/>
  <c r="E18" i="3"/>
  <c r="E11" i="3"/>
  <c r="B53" i="3"/>
  <c r="E34" i="3"/>
  <c r="E28" i="3"/>
  <c r="E10" i="3"/>
  <c r="E47" i="3"/>
  <c r="E44" i="3"/>
  <c r="E41" i="3"/>
  <c r="E36" i="3"/>
  <c r="E23" i="3"/>
  <c r="E32" i="3"/>
  <c r="E16" i="3"/>
  <c r="E8" i="3"/>
  <c r="E45" i="3"/>
  <c r="E27" i="3"/>
  <c r="E7" i="3"/>
  <c r="B54" i="3"/>
  <c r="E33" i="3"/>
  <c r="E43" i="3"/>
  <c r="E20" i="3"/>
  <c r="D49" i="3"/>
  <c r="E39" i="3"/>
  <c r="E35" i="3"/>
  <c r="E14" i="3"/>
  <c r="E40" i="3"/>
  <c r="B55" i="3"/>
  <c r="E17" i="3"/>
  <c r="B52" i="3"/>
  <c r="C49" i="3"/>
  <c r="E25" i="3"/>
  <c r="E46" i="3"/>
  <c r="E31" i="3"/>
  <c r="E15" i="3"/>
  <c r="E9" i="3"/>
  <c r="E24" i="3"/>
  <c r="E42" i="3"/>
  <c r="E19" i="3"/>
  <c r="B56" i="3"/>
  <c r="E29" i="7" l="1"/>
  <c r="F28" i="7"/>
  <c r="G28" i="7" l="1"/>
  <c r="F29" i="7"/>
  <c r="H28" i="7" l="1"/>
  <c r="G29" i="7"/>
  <c r="H29" i="7" l="1"/>
  <c r="I28" i="7"/>
  <c r="J28" i="7" l="1"/>
  <c r="I29" i="7"/>
  <c r="K28" i="7" l="1"/>
  <c r="J29" i="7"/>
  <c r="K29" i="7" l="1"/>
  <c r="L28" i="7"/>
  <c r="L29" i="7" l="1"/>
  <c r="M28" i="7"/>
  <c r="M29" i="7" l="1"/>
  <c r="N28" i="7"/>
  <c r="O28" i="7" l="1"/>
  <c r="N29" i="7"/>
  <c r="O29" i="7" l="1"/>
  <c r="P28" i="7"/>
  <c r="P29" i="7" l="1"/>
  <c r="Q28" i="7"/>
  <c r="Q29" i="7" l="1"/>
  <c r="R28" i="7"/>
  <c r="S28" i="7" l="1"/>
  <c r="R29" i="7"/>
  <c r="T28" i="7" l="1"/>
  <c r="S29" i="7"/>
  <c r="T29" i="7" l="1"/>
  <c r="U28" i="7"/>
  <c r="V28" i="7" l="1"/>
  <c r="U29" i="7"/>
  <c r="W28" i="7" l="1"/>
  <c r="V29" i="7"/>
  <c r="W29" i="7" l="1"/>
  <c r="X28" i="7"/>
  <c r="X29" i="7" l="1"/>
  <c r="Y28" i="7"/>
  <c r="Y29" i="7" l="1"/>
  <c r="Z28" i="7"/>
  <c r="AA28" i="7" l="1"/>
  <c r="Z29" i="7"/>
  <c r="AA29" i="7" l="1"/>
  <c r="AB28" i="7"/>
  <c r="AB29" i="7" l="1"/>
  <c r="AC28" i="7"/>
  <c r="AC29" i="7" l="1"/>
  <c r="AD28" i="7"/>
  <c r="AE28" i="7" l="1"/>
  <c r="AD29" i="7"/>
  <c r="AF28" i="7" l="1"/>
  <c r="AE29" i="7"/>
  <c r="AF29" i="7" l="1"/>
  <c r="AG28" i="7"/>
  <c r="AG29" i="7" l="1"/>
  <c r="AH28" i="7"/>
  <c r="AI28" i="7" l="1"/>
  <c r="AH29" i="7"/>
  <c r="AI29" i="7" l="1"/>
  <c r="AJ28" i="7"/>
  <c r="AJ29" i="7" l="1"/>
  <c r="AK28" i="7"/>
  <c r="AK29" i="7" l="1"/>
  <c r="AL28" i="7"/>
  <c r="AM28" i="7" l="1"/>
  <c r="AL29" i="7"/>
  <c r="AM29" i="7" l="1"/>
  <c r="AN28" i="7"/>
  <c r="AN29" i="7" l="1"/>
  <c r="AO28" i="7"/>
  <c r="AO29" i="7" l="1"/>
  <c r="AP28" i="7"/>
  <c r="AQ28" i="7" l="1"/>
  <c r="AP29" i="7"/>
  <c r="AR28" i="7" l="1"/>
  <c r="AQ29" i="7"/>
  <c r="AR29" i="7" l="1"/>
  <c r="AS28" i="7"/>
  <c r="AS29" i="7" l="1"/>
  <c r="AT28" i="7"/>
  <c r="AU28" i="7" l="1"/>
  <c r="AT29" i="7"/>
  <c r="AU29" i="7" l="1"/>
  <c r="AV28" i="7"/>
  <c r="AV29" i="7" l="1"/>
  <c r="AW28" i="7"/>
  <c r="AW29" i="7" l="1"/>
  <c r="AX28" i="7"/>
  <c r="AY28" i="7" l="1"/>
  <c r="AY29" i="7" s="1"/>
  <c r="AX29" i="7"/>
  <c r="AZ29" i="7" l="1"/>
</calcChain>
</file>

<file path=xl/sharedStrings.xml><?xml version="1.0" encoding="utf-8"?>
<sst xmlns="http://schemas.openxmlformats.org/spreadsheetml/2006/main" count="1062" uniqueCount="866">
  <si>
    <t>INTERNATIONAL TRADE PARK HOUSTON</t>
  </si>
  <si>
    <t>Capital Model  |  PLUSAdvantage™ 2026  —  CONFIDENTIAL</t>
  </si>
  <si>
    <t>PROJECT SNAPSHOT</t>
  </si>
  <si>
    <t>Total Acres</t>
  </si>
  <si>
    <t>Net Lot SF</t>
  </si>
  <si>
    <t>Total Lots</t>
  </si>
  <si>
    <t>Gross Lot Value</t>
  </si>
  <si>
    <t>136</t>
  </si>
  <si>
    <t>4,337,705</t>
  </si>
  <si>
    <t>30</t>
  </si>
  <si>
    <t>$39,390,437</t>
  </si>
  <si>
    <t>Total Revenue</t>
  </si>
  <si>
    <t>Total Project Cost</t>
  </si>
  <si>
    <t>Total Profit</t>
  </si>
  <si>
    <t>Project IRR</t>
  </si>
  <si>
    <t>$61,214,819</t>
  </si>
  <si>
    <t>$38,058,952</t>
  </si>
  <si>
    <t>$23,155,868</t>
  </si>
  <si>
    <t>63.6%</t>
  </si>
  <si>
    <t>Project Multiple</t>
  </si>
  <si>
    <t>Equity IRR</t>
  </si>
  <si>
    <t>Equity Multiple</t>
  </si>
  <si>
    <t>Peak Loan Balance</t>
  </si>
  <si>
    <t>3.03x</t>
  </si>
  <si>
    <t>39.3%</t>
  </si>
  <si>
    <t>2.11x</t>
  </si>
  <si>
    <t>$671,535</t>
  </si>
  <si>
    <t>TAB DIRECTORY</t>
  </si>
  <si>
    <t>📋 User Instructions</t>
  </si>
  <si>
    <t>Model guide, Copilot activation, color legend, 60-prompt library  ← START HERE</t>
  </si>
  <si>
    <t>Cover</t>
  </si>
  <si>
    <t>Project KPI dashboard, snapshot tiles, navigation index</t>
  </si>
  <si>
    <t>Assumptions</t>
  </si>
  <si>
    <t>ALL inputs — lot pricing, timeline, costs, MUD bonds, equity terms</t>
  </si>
  <si>
    <t>Total Budget</t>
  </si>
  <si>
    <t>Full project budget: Land + Horizontal + Soft + Vertical + Financing</t>
  </si>
  <si>
    <t>Land</t>
  </si>
  <si>
    <t>Parcel breakdown, acres by use, lot value analysis, absorption</t>
  </si>
  <si>
    <t>Improvements</t>
  </si>
  <si>
    <t>Horizontal infrastructure detail, unit costs, phasing schedule</t>
  </si>
  <si>
    <t>Sources &amp; Uses</t>
  </si>
  <si>
    <t>Capital balancing: all uses vs all sources, coverage ratios</t>
  </si>
  <si>
    <t>Monthly Cash Flow</t>
  </si>
  <si>
    <t>50-month draw schedule, MUD receipts, lot proceeds, loan balance</t>
  </si>
  <si>
    <t>Dev Budget</t>
  </si>
  <si>
    <t>Uses of Funds summary with % of total and $/SF columns</t>
  </si>
  <si>
    <t>Capital Stack</t>
  </si>
  <si>
    <t>MUD bonds, construction loan, equity tranche, underwriting tests</t>
  </si>
  <si>
    <t>Pro Forma</t>
  </si>
  <si>
    <t>Revenue summary, cost summary, lot sales by type, absorption</t>
  </si>
  <si>
    <t>JV Waterfall</t>
  </si>
  <si>
    <t>4-step distribution: capital return → preferred → 50/50 split</t>
  </si>
  <si>
    <t>Cap Events</t>
  </si>
  <si>
    <t>Scenario A: EP buyout  |  Scenario B: Full development</t>
  </si>
  <si>
    <t>Balance Sheet</t>
  </si>
  <si>
    <t>Day 1 / 50% Sold / Full Sellout equity snapshots</t>
  </si>
  <si>
    <t>P&amp;L</t>
  </si>
  <si>
    <t>Full income statement — revenue through net profit &amp; distributions</t>
  </si>
  <si>
    <t>Sensitivity</t>
  </si>
  <si>
    <t>Lot price vs hard cost matrix + lot price vs lots sold matrix</t>
  </si>
  <si>
    <t>Total Row</t>
  </si>
  <si>
    <t>Warm cream background — section subtotal / total</t>
  </si>
  <si>
    <t>Section</t>
  </si>
  <si>
    <t>Gold fill / navy text — section header</t>
  </si>
  <si>
    <t>Title</t>
  </si>
  <si>
    <t>Navy fill / gold text — title bar</t>
  </si>
  <si>
    <t>INTERNATIONAL TRADE PARK HOUSTON — ASSUMPTIONS</t>
  </si>
  <si>
    <t>All highlighted cells are user-changeable inputs</t>
  </si>
  <si>
    <t>PROPERTY INFORMATION</t>
  </si>
  <si>
    <t>Project Name</t>
  </si>
  <si>
    <t>International Trade Park Houston</t>
  </si>
  <si>
    <t>Location</t>
  </si>
  <si>
    <t>Houston, Texas</t>
  </si>
  <si>
    <t>Total Gross Acres</t>
  </si>
  <si>
    <t>Net Lot Acres</t>
  </si>
  <si>
    <t>LOT MIX &amp; PRICING</t>
  </si>
  <si>
    <t>Lot Type</t>
  </si>
  <si>
    <t># Lots</t>
  </si>
  <si>
    <t>Acres</t>
  </si>
  <si>
    <t>Price/SF</t>
  </si>
  <si>
    <t>Gross Value</t>
  </si>
  <si>
    <t>% of Total</t>
  </si>
  <si>
    <t xml:space="preserve">  Industrial (27.6 ac avg)</t>
  </si>
  <si>
    <t xml:space="preserve">  Retail (1-acre lots)</t>
  </si>
  <si>
    <t xml:space="preserve">  Multifamily</t>
  </si>
  <si>
    <t>TOTAL LOT VALUE</t>
  </si>
  <si>
    <t>PROJECT TIMELINE</t>
  </si>
  <si>
    <t>Project Start Date</t>
  </si>
  <si>
    <t>February 2026</t>
  </si>
  <si>
    <t>Project End Date</t>
  </si>
  <si>
    <t>April 2030</t>
  </si>
  <si>
    <t>Project Duration (Months)</t>
  </si>
  <si>
    <t>Sales Start (Month #)</t>
  </si>
  <si>
    <t>Sales End (Month #)</t>
  </si>
  <si>
    <t>MUD Bond 1st Issuance (Month #)</t>
  </si>
  <si>
    <t>MUD Bond 2nd Issuance (Month #)</t>
  </si>
  <si>
    <t>HARD COSTS</t>
  </si>
  <si>
    <t xml:space="preserve">  Water System</t>
  </si>
  <si>
    <t xml:space="preserve">  Sanitary Sewer</t>
  </si>
  <si>
    <t xml:space="preserve">  Storm Sewer</t>
  </si>
  <si>
    <t xml:space="preserve">  Roadway</t>
  </si>
  <si>
    <t xml:space="preserve">  Erosion Control</t>
  </si>
  <si>
    <t xml:space="preserve">  Contingency (Hard)</t>
  </si>
  <si>
    <t>Total Hard Costs</t>
  </si>
  <si>
    <t>SOFT COSTS</t>
  </si>
  <si>
    <t xml:space="preserve">  Testing / Inspection</t>
  </si>
  <si>
    <t xml:space="preserve">  Engineering &amp; Survey</t>
  </si>
  <si>
    <t>Total Soft Costs</t>
  </si>
  <si>
    <t>MUD BOND ASSUMPTIONS</t>
  </si>
  <si>
    <t>MUD Bond Principal — Total</t>
  </si>
  <si>
    <t>MUD Operation Cost</t>
  </si>
  <si>
    <t>Third Party / Legal</t>
  </si>
  <si>
    <t>CONSTRUCTION LOAN</t>
  </si>
  <si>
    <t>Loan Interest Rate (Annual)</t>
  </si>
  <si>
    <t>Loan Broker Fee ($)</t>
  </si>
  <si>
    <t>Lender Fee ($)</t>
  </si>
  <si>
    <t>Title / Closing</t>
  </si>
  <si>
    <t>Loan Interest Paid</t>
  </si>
  <si>
    <t>EQUITY PARTNER</t>
  </si>
  <si>
    <t>Deemed Land Value (EP Contribution)</t>
  </si>
  <si>
    <t>Preferred Return Rate (Annual)</t>
  </si>
  <si>
    <t>Profit Split — Developer (%)</t>
  </si>
  <si>
    <t>Profit Split — EP (%)</t>
  </si>
  <si>
    <t>Sales Commission Rate</t>
  </si>
  <si>
    <t>Developer Fee Rate</t>
  </si>
  <si>
    <t>INTERNATIONAL TRADE PARK HOUSTON — TOTAL PROJECT BUDGET</t>
  </si>
  <si>
    <t>Land  ·  Horizontal Improvements  ·  Soft Costs  ·  Vertical  ·  Financing  ·  Contingency</t>
  </si>
  <si>
    <t>TOTAL BUDGET SUMMARY</t>
  </si>
  <si>
    <t>Budget Category</t>
  </si>
  <si>
    <t>Budget Amount</t>
  </si>
  <si>
    <t>$ / Lot</t>
  </si>
  <si>
    <t>$ / SF</t>
  </si>
  <si>
    <t>% Total</t>
  </si>
  <si>
    <t>% HC</t>
  </si>
  <si>
    <t>Status</t>
  </si>
  <si>
    <t>Notes</t>
  </si>
  <si>
    <t>1. LAND ACQUISITION</t>
  </si>
  <si>
    <t xml:space="preserve">  Deemed Land Value (EP Contribution)</t>
  </si>
  <si>
    <t>land equity</t>
  </si>
  <si>
    <t xml:space="preserve">  Land Carry / Holding Costs</t>
  </si>
  <si>
    <t>if any cash cost</t>
  </si>
  <si>
    <t xml:space="preserve">  Due Diligence / Environmental</t>
  </si>
  <si>
    <t>Phase I/II ESA</t>
  </si>
  <si>
    <t xml:space="preserve">  Closing Costs</t>
  </si>
  <si>
    <t>TOTAL LAND</t>
  </si>
  <si>
    <t>2. HORIZONTAL IMPROVEMENTS (HARD COSTS)</t>
  </si>
  <si>
    <t>Potable water distribution</t>
  </si>
  <si>
    <t>Gravity sewer + lift stations</t>
  </si>
  <si>
    <t xml:space="preserve">  Storm Sewer / Detention</t>
  </si>
  <si>
    <t>Detention pond + storm mains</t>
  </si>
  <si>
    <t xml:space="preserve">  Roadway &amp; Paving</t>
  </si>
  <si>
    <t>Internal roads + curb &amp; gutter</t>
  </si>
  <si>
    <t xml:space="preserve">  Erosion Control / SWPPP</t>
  </si>
  <si>
    <t>Silt fence, BMP measures</t>
  </si>
  <si>
    <t>~1.2% of hard costs</t>
  </si>
  <si>
    <t>TOTAL HORIZONTAL IMPROVEMENTS</t>
  </si>
  <si>
    <t>3. SOFT COSTS</t>
  </si>
  <si>
    <t xml:space="preserve">  Testing / Materials Inspection</t>
  </si>
  <si>
    <t>Geotech, compaction, materials</t>
  </si>
  <si>
    <t>Civil engineering, platting</t>
  </si>
  <si>
    <t xml:space="preserve">  Architecture / Vertical Design</t>
  </si>
  <si>
    <t>N/A — land only</t>
  </si>
  <si>
    <t xml:space="preserve">  Permitting &amp; Fees</t>
  </si>
  <si>
    <t>City/county permits</t>
  </si>
  <si>
    <t xml:space="preserve">  Contingency (Soft)</t>
  </si>
  <si>
    <t>TOTAL SOFT COSTS</t>
  </si>
  <si>
    <t>4. VERTICAL CONSTRUCTION</t>
  </si>
  <si>
    <t xml:space="preserve">  Industrial Buildings (shell)</t>
  </si>
  <si>
    <t>Future Phase — land sale only</t>
  </si>
  <si>
    <t xml:space="preserve">  Retail Shell / Pad Sites</t>
  </si>
  <si>
    <t>Future Phase — pad sale only</t>
  </si>
  <si>
    <t xml:space="preserve">  Multifamily Structures</t>
  </si>
  <si>
    <t>Future Phase — lot sale only</t>
  </si>
  <si>
    <t xml:space="preserve">  Shared Amenities / Landscaping</t>
  </si>
  <si>
    <t xml:space="preserve">  Vertical Contingency</t>
  </si>
  <si>
    <t>TOTAL VERTICAL CONSTRUCTION</t>
  </si>
  <si>
    <t>5. FINANCING &amp; TRANSACTION COSTS</t>
  </si>
  <si>
    <t xml:space="preserve">  Developer Fee (5%)</t>
  </si>
  <si>
    <t>5% of HC + SC</t>
  </si>
  <si>
    <t xml:space="preserve">  Loan Broker Fee</t>
  </si>
  <si>
    <t xml:space="preserve">  Lender Fee / Origination</t>
  </si>
  <si>
    <t xml:space="preserve">  Loan Interest</t>
  </si>
  <si>
    <t>11% on peak draw</t>
  </si>
  <si>
    <t xml:space="preserve">  MUD District Operation</t>
  </si>
  <si>
    <t>Bond-funded ops reserve</t>
  </si>
  <si>
    <t xml:space="preserve">  Third Party / Bond Counsel</t>
  </si>
  <si>
    <t xml:space="preserve">  Title &amp; Closing</t>
  </si>
  <si>
    <t xml:space="preserve">  Sales Commission (4%)</t>
  </si>
  <si>
    <t>Revenue-side cost</t>
  </si>
  <si>
    <t>TOTAL FINANCING &amp; TRANSACTION</t>
  </si>
  <si>
    <t>TOTAL PROJECT BUDGET (ALL-IN)</t>
  </si>
  <si>
    <t>QUICK METRICS</t>
  </si>
  <si>
    <t>Cost Per Gross Acre</t>
  </si>
  <si>
    <t>Cost Per Net SF</t>
  </si>
  <si>
    <t>Cost Per Lot</t>
  </si>
  <si>
    <t>Hard Cost %</t>
  </si>
  <si>
    <t>Land %</t>
  </si>
  <si>
    <t>Soft + Finance %</t>
  </si>
  <si>
    <t>INTERNATIONAL TRADE PARK HOUSTON — LAND ANALYSIS</t>
  </si>
  <si>
    <t>Parcel Summary  ·  Acres by Use  ·  Value/SF  ·  Absorption</t>
  </si>
  <si>
    <t>SITE OVERVIEW</t>
  </si>
  <si>
    <t>Including roads, drainage, common areas</t>
  </si>
  <si>
    <t>Net Lot Acres (Saleable)</t>
  </si>
  <si>
    <t>Lots available for sale</t>
  </si>
  <si>
    <t>Gross-to-Net Ratio</t>
  </si>
  <si>
    <t>Net / Gross</t>
  </si>
  <si>
    <t>All product types</t>
  </si>
  <si>
    <t>Average Lot Size (SF)</t>
  </si>
  <si>
    <t>Avg across all types</t>
  </si>
  <si>
    <t>Average Lot Size (Acres)</t>
  </si>
  <si>
    <t>LOT BREAKDOWN BY TYPE</t>
  </si>
  <si>
    <t>Use Type</t>
  </si>
  <si>
    <t>Lots</t>
  </si>
  <si>
    <t>SF</t>
  </si>
  <si>
    <t>% Site</t>
  </si>
  <si>
    <t>Avg Lot SF</t>
  </si>
  <si>
    <t>$/Acre</t>
  </si>
  <si>
    <t xml:space="preserve">  Industrial</t>
  </si>
  <si>
    <t xml:space="preserve">  Retail</t>
  </si>
  <si>
    <t>TOTAL</t>
  </si>
  <si>
    <t>LAND VALUE ANALYSIS</t>
  </si>
  <si>
    <t>Metric</t>
  </si>
  <si>
    <t>Value</t>
  </si>
  <si>
    <t>Note</t>
  </si>
  <si>
    <t>Deemed Land Value (EP Equity)</t>
  </si>
  <si>
    <t>Non-cash equity contribution</t>
  </si>
  <si>
    <t>Gross Lot Value (As-Developed)</t>
  </si>
  <si>
    <t>Sum of all lot types</t>
  </si>
  <si>
    <t>Land Residual (Gross - Deemed)</t>
  </si>
  <si>
    <t>Uplift from development</t>
  </si>
  <si>
    <t>Land Value / Gross Acre</t>
  </si>
  <si>
    <t>Land Value / Net SF</t>
  </si>
  <si>
    <t>Land-to-Value Ratio</t>
  </si>
  <si>
    <t>Land cost / As-built value</t>
  </si>
  <si>
    <t>Net Lot Value (After 4% Comm)</t>
  </si>
  <si>
    <t>Net Revenue / Acre (Saleable)</t>
  </si>
  <si>
    <t>ABSORPTION &amp; SALES SCHEDULE</t>
  </si>
  <si>
    <t>Phase</t>
  </si>
  <si>
    <t>Start Mo</t>
  </si>
  <si>
    <t>End Mo</t>
  </si>
  <si>
    <t>Lots/Mo</t>
  </si>
  <si>
    <t>Revenue</t>
  </si>
  <si>
    <t>Cumul Rev</t>
  </si>
  <si>
    <t xml:space="preserve">  Industrial Lots</t>
  </si>
  <si>
    <t xml:space="preserve">  Retail Lots</t>
  </si>
  <si>
    <t xml:space="preserve">  Multifamily Lots</t>
  </si>
  <si>
    <t>TOTAL LOTS / REVENUE</t>
  </si>
  <si>
    <t>INTERNATIONAL TRADE PARK HOUSTON — IMPROVEMENTS BUDGET</t>
  </si>
  <si>
    <t>Horizontal Infrastructure  ·  Unit Costs  ·  Timeline  ·  Soft Costs</t>
  </si>
  <si>
    <t>HORIZONTAL INFRASTRUCTURE (HARD COSTS)</t>
  </si>
  <si>
    <t>System / Description</t>
  </si>
  <si>
    <t>Budget</t>
  </si>
  <si>
    <t>Duration</t>
  </si>
  <si>
    <t>Potable water mains, valves, fire hydrants, meters</t>
  </si>
  <si>
    <t>Gravity collection, manholes, lift station</t>
  </si>
  <si>
    <t xml:space="preserve">  Storm Sewer &amp; Detention</t>
  </si>
  <si>
    <t>Inlets, mains, detention pond, outlet</t>
  </si>
  <si>
    <t>Sub-base, base, asphalt, curb &amp; gutter, striping</t>
  </si>
  <si>
    <t>Continuous SWPPP compliance, 50-month project</t>
  </si>
  <si>
    <t xml:space="preserve">  Contingency — Hard</t>
  </si>
  <si>
    <t>~1.2% of base hard costs</t>
  </si>
  <si>
    <t>TOTAL HARD COSTS</t>
  </si>
  <si>
    <t>SOFT COSTS DETAIL</t>
  </si>
  <si>
    <t>Description</t>
  </si>
  <si>
    <t>% Soft</t>
  </si>
  <si>
    <t>Basis</t>
  </si>
  <si>
    <t xml:space="preserve">  Testing &amp; Special Inspection</t>
  </si>
  <si>
    <t>Soils, concrete, asphalt testing, geo report</t>
  </si>
  <si>
    <t xml:space="preserve">  Civil Engineering &amp; Survey</t>
  </si>
  <si>
    <t>Site design, grading, platting, as-builts</t>
  </si>
  <si>
    <t xml:space="preserve">  Permitting &amp; Impact Fees</t>
  </si>
  <si>
    <t>Included in hard cost estimate</t>
  </si>
  <si>
    <t xml:space="preserve">  MUD District Formation</t>
  </si>
  <si>
    <t>PID/MUD creation &amp; admin</t>
  </si>
  <si>
    <t xml:space="preserve">  Bond Counsel / Legal</t>
  </si>
  <si>
    <t>MUD bond issuance counsel</t>
  </si>
  <si>
    <t xml:space="preserve">  Environmental (Phase I/II)</t>
  </si>
  <si>
    <t>Completed pre-acquisition</t>
  </si>
  <si>
    <t>TOTAL IMPROVEMENTS BUDGET (H+S)</t>
  </si>
  <si>
    <t>UNIT COST BENCHMARKS</t>
  </si>
  <si>
    <t>System</t>
  </si>
  <si>
    <t>Linear Feet Est.</t>
  </si>
  <si>
    <t>$/LF</t>
  </si>
  <si>
    <t xml:space="preserve">  Water (est. 12,000 LF)</t>
  </si>
  <si>
    <t xml:space="preserve">  Sanitary Sewer (9,000 LF)</t>
  </si>
  <si>
    <t xml:space="preserve">  Storm Sewer (8,000 LF)</t>
  </si>
  <si>
    <t xml:space="preserve">  Roadway (6,000 LF)</t>
  </si>
  <si>
    <t>INTERNATIONAL TRADE PARK HOUSTON — SOURCES &amp; USES OF CAPITAL</t>
  </si>
  <si>
    <t>Balancing Statement  ·  Tranche Detail  ·  Draw Schedule  ·  Coverage Ratios</t>
  </si>
  <si>
    <t>USES OF CAPITAL</t>
  </si>
  <si>
    <t>SOURCES OF CAPITAL</t>
  </si>
  <si>
    <t>Category</t>
  </si>
  <si>
    <t>Amount</t>
  </si>
  <si>
    <t>Source / Tranche</t>
  </si>
  <si>
    <t>LAND</t>
  </si>
  <si>
    <t>EQUITY</t>
  </si>
  <si>
    <t xml:space="preserve">    Deemed Land (EP Equity)</t>
  </si>
  <si>
    <t xml:space="preserve">    EP Deemed Land Contribution</t>
  </si>
  <si>
    <t>Non-cash equity; 100% of equity tranche</t>
  </si>
  <si>
    <t xml:space="preserve">    Developer Cash Equity</t>
  </si>
  <si>
    <t>Zero cash required from developer</t>
  </si>
  <si>
    <t xml:space="preserve">    Water System</t>
  </si>
  <si>
    <t xml:space="preserve">  Total Equity</t>
  </si>
  <si>
    <t xml:space="preserve">    Sanitary Sewer</t>
  </si>
  <si>
    <t>MUD BOND PROCEEDS</t>
  </si>
  <si>
    <t xml:space="preserve">    Storm Sewer / Detention</t>
  </si>
  <si>
    <t xml:space="preserve">    MUD Bond Issuance #1 (Mo 15)</t>
  </si>
  <si>
    <t>First \$11.7M — Nov 2027</t>
  </si>
  <si>
    <t xml:space="preserve">    Roadway &amp; Paving</t>
  </si>
  <si>
    <t xml:space="preserve">    MUD Bond Issuance #2 (Mo 21)</t>
  </si>
  <si>
    <t>Second \$11.7M — May 2028</t>
  </si>
  <si>
    <t xml:space="preserve">    Erosion Control</t>
  </si>
  <si>
    <t xml:space="preserve">  Total MUD Bonds</t>
  </si>
  <si>
    <t>Reimburses eligible costs</t>
  </si>
  <si>
    <t xml:space="preserve">    Contingency</t>
  </si>
  <si>
    <t xml:space="preserve">  Total Hard Costs</t>
  </si>
  <si>
    <t xml:space="preserve">    Peak Loan Balance</t>
  </si>
  <si>
    <t>11% interest rate</t>
  </si>
  <si>
    <t xml:space="preserve">    Funded from Lot Sales</t>
  </si>
  <si>
    <t>Net lot proceeds repay loan</t>
  </si>
  <si>
    <t xml:space="preserve">    Testing / Inspection</t>
  </si>
  <si>
    <t xml:space="preserve">  Total Loan / Lot Proceeds</t>
  </si>
  <si>
    <t xml:space="preserve">    Engineering &amp; Survey</t>
  </si>
  <si>
    <t>REVENUE (SURPLUS)</t>
  </si>
  <si>
    <t xml:space="preserve">  Total Soft Costs</t>
  </si>
  <si>
    <t xml:space="preserve">    Lot Sales Net Revenue</t>
  </si>
  <si>
    <t>DEVELOPER FEE</t>
  </si>
  <si>
    <t xml:space="preserve">    MUD Bond Proceeds</t>
  </si>
  <si>
    <t>Reimbursement of HC</t>
  </si>
  <si>
    <t xml:space="preserve">    Dev Fee (5% HC+SC)</t>
  </si>
  <si>
    <t xml:space="preserve">  Total Revenue</t>
  </si>
  <si>
    <t>FINANCE COSTS</t>
  </si>
  <si>
    <t xml:space="preserve">    Loan Broker Fee</t>
  </si>
  <si>
    <t xml:space="preserve">    Lender Fee</t>
  </si>
  <si>
    <t xml:space="preserve">    Loan Interest</t>
  </si>
  <si>
    <t xml:space="preserve">    MUD Operation</t>
  </si>
  <si>
    <t xml:space="preserve">    Third Party / Legal</t>
  </si>
  <si>
    <t xml:space="preserve">    Title &amp; Closing</t>
  </si>
  <si>
    <t xml:space="preserve">  Total Finance Costs</t>
  </si>
  <si>
    <t>TOTAL USES</t>
  </si>
  <si>
    <t>BALANCING CHECK &amp; COVERAGE RATIOS</t>
  </si>
  <si>
    <t>Total Uses of Capital</t>
  </si>
  <si>
    <t>Total MUD + Equity Sources</t>
  </si>
  <si>
    <t>Total Lot Sale Proceeds</t>
  </si>
  <si>
    <t>Total All Sources</t>
  </si>
  <si>
    <t>Net Surplus / (Deficit)</t>
  </si>
  <si>
    <t>Positive = project cash-on-cash positive</t>
  </si>
  <si>
    <t>MUD Coverage Ratio (Bonds/HC)</t>
  </si>
  <si>
    <t>Equity Coverage Ratio</t>
  </si>
  <si>
    <t>Loan-to-Cost</t>
  </si>
  <si>
    <t>Break-Even Lot Price/SF</t>
  </si>
  <si>
    <t>INTERNATIONAL TRADE PARK HOUSTON — MONTHLY CASH FLOW</t>
  </si>
  <si>
    <t>50-Month Timeline  ·  Capital Draws  ·  MUD Bonds  ·  Lot Sale Receipts  ·  Loan Balance</t>
  </si>
  <si>
    <t>LINE ITEM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</si>
  <si>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</si>
  <si>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</si>
  <si>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</si>
  <si>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</si>
  <si>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</si>
  <si>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</si>
  <si>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</si>
  <si>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</si>
  <si>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</si>
  <si>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</si>
  <si>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</si>
  <si>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</si>
  <si>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</si>
  <si>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</si>
  <si>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</si>
  <si>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</si>
  <si>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</si>
  <si>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</si>
  <si>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</si>
  <si>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</si>
  <si>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</si>
  <si>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</si>
  <si>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</si>
  <si>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</si>
  <si>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</si>
  <si>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</si>
  <si>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</si>
  <si>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</si>
  <si>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</si>
  <si>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</si>
  <si>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</si>
  <si>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</si>
  <si>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</si>
  <si>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</si>
  <si>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</si>
  <si>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</si>
  <si>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</si>
  <si>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</si>
  <si>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</si>
  <si>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</si>
  <si>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</si>
  <si>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</si>
  <si>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</si>
  <si>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</si>
  <si>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</si>
  <si>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</si>
  <si>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</si>
  <si>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</si>
  <si>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</si>
  <si>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</si>
  <si>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CAPITAL DRAWS — HARD COSTS</t>
  </si>
  <si>
    <t xml:space="preserve">  Contingency</t>
  </si>
  <si>
    <t>TOTAL HARD COST DRAWS</t>
  </si>
  <si>
    <t>CAPITAL DRAWS — SOFT COSTS</t>
  </si>
  <si>
    <t>TOTAL SOFT COST DRAWS</t>
  </si>
  <si>
    <t>LOT SALE RECEIPTS</t>
  </si>
  <si>
    <t xml:space="preserve">  Industrial Lot Sales (Net)</t>
  </si>
  <si>
    <t xml:space="preserve">  Retail Lot Sales (Net)</t>
  </si>
  <si>
    <t xml:space="preserve">  Multifamily Lot Sales (Net)</t>
  </si>
  <si>
    <t>TOTAL LOT SALE RECEIPTS</t>
  </si>
  <si>
    <t xml:space="preserve">  MUD Bond Issuance #1 (Month 15)</t>
  </si>
  <si>
    <t xml:space="preserve">  MUD Bond Issuance #2 (Month 21)</t>
  </si>
  <si>
    <t>TOTAL MUD RECEIPTS</t>
  </si>
  <si>
    <t>NET CASH FLOW</t>
  </si>
  <si>
    <t>NET CASH FLOW (Receipts - Draws)</t>
  </si>
  <si>
    <t>CUMULATIVE CASH FLOW</t>
  </si>
  <si>
    <t>ESTIMATED LOAN BALANCE</t>
  </si>
  <si>
    <t>INTERNATIONAL TRADE PARK HOUSTON — DEVELOPMENT BUDGET</t>
  </si>
  <si>
    <t>Uses of Funds &amp; Sources of Funds</t>
  </si>
  <si>
    <t>USES OF FUNDS</t>
  </si>
  <si>
    <t>SOURCES OF FUNDS</t>
  </si>
  <si>
    <t>$/SF</t>
  </si>
  <si>
    <t>Source</t>
  </si>
  <si>
    <t>MUD Bond Proceeds</t>
  </si>
  <si>
    <t>Equity Partner (Deemed Land)</t>
  </si>
  <si>
    <t>Construction Loan (Net Draw)</t>
  </si>
  <si>
    <t>TOTAL SOURCES</t>
  </si>
  <si>
    <t>Developer Fee (5% of Hard+Soft)</t>
  </si>
  <si>
    <t xml:space="preserve">  Lender Fee</t>
  </si>
  <si>
    <t xml:space="preserve">  MUD Operation</t>
  </si>
  <si>
    <t xml:space="preserve">  Third Party / Legal</t>
  </si>
  <si>
    <t xml:space="preserve">  Title / Closing</t>
  </si>
  <si>
    <t>Total Finance Costs</t>
  </si>
  <si>
    <t>Sales Commission (4% gross lot value)</t>
  </si>
  <si>
    <t>TOTAL PROJECT COST (USES)</t>
  </si>
  <si>
    <t>INTERNATIONAL TRADE PARK HOUSTON — CAPITAL STACK</t>
  </si>
  <si>
    <t>MUD Bond Structure | Construction Loan | Equity</t>
  </si>
  <si>
    <t>MUD BOND STRUCTURE</t>
  </si>
  <si>
    <t>Parameter</t>
  </si>
  <si>
    <t>Amount / Value</t>
  </si>
  <si>
    <t xml:space="preserve">  MUD Bond Principal — Total</t>
  </si>
  <si>
    <t>Two issuances</t>
  </si>
  <si>
    <t xml:space="preserve">  First Issuance (Month 15)</t>
  </si>
  <si>
    <t>Nov 2027</t>
  </si>
  <si>
    <t xml:space="preserve">  Second Issuance (Month 21)</t>
  </si>
  <si>
    <t>May 2028</t>
  </si>
  <si>
    <t xml:space="preserve">  MUD Operation Cost</t>
  </si>
  <si>
    <t>Annual ops reserve</t>
  </si>
  <si>
    <t>Bond counsel &amp; filing</t>
  </si>
  <si>
    <t xml:space="preserve">  Peak Loan Balance</t>
  </si>
  <si>
    <t xml:space="preserve">  Interest Rate (Annual)</t>
  </si>
  <si>
    <t xml:space="preserve">  Broker Fee</t>
  </si>
  <si>
    <t xml:space="preserve">  Loan Interest Paid</t>
  </si>
  <si>
    <t>EQUITY CONTRIBUTION</t>
  </si>
  <si>
    <t xml:space="preserve">  Developer Cash Equity</t>
  </si>
  <si>
    <t>CAPITAL STACK SUMMARY</t>
  </si>
  <si>
    <t>Tranche</t>
  </si>
  <si>
    <t>% of Total Cost</t>
  </si>
  <si>
    <t>Cost of Capital</t>
  </si>
  <si>
    <t xml:space="preserve">  MUD Bond Proceeds</t>
  </si>
  <si>
    <t xml:space="preserve">  Construction Loan</t>
  </si>
  <si>
    <t xml:space="preserve">  Equity (Deemed Land)</t>
  </si>
  <si>
    <t>TOTAL CAPITAL</t>
  </si>
  <si>
    <t>UNDERWRITING TESTS</t>
  </si>
  <si>
    <t>Net Lot Value (after 4% commission)</t>
  </si>
  <si>
    <t>Total Revenue (Lots + MUD)</t>
  </si>
  <si>
    <t>Gross Profit</t>
  </si>
  <si>
    <t>Project IRR (Est.)</t>
  </si>
  <si>
    <t>Project Multiple (Est.)</t>
  </si>
  <si>
    <t>Equity IRR (Est.)</t>
  </si>
  <si>
    <t>Equity Multiple (Est.)</t>
  </si>
  <si>
    <t>INTERNATIONAL TRADE PARK HOUSTON — PRO FORMA</t>
  </si>
  <si>
    <t>Revenue Summary | Lot Sales by Type | Absorption Schedule</t>
  </si>
  <si>
    <t>REVENUE SUMMARY</t>
  </si>
  <si>
    <t xml:space="preserve">  Gross Lot Value</t>
  </si>
  <si>
    <t xml:space="preserve">  Less: Sales Commission (4%)</t>
  </si>
  <si>
    <t xml:space="preserve">  Net Lot Revenue</t>
  </si>
  <si>
    <t>TOTAL REVENUE</t>
  </si>
  <si>
    <t>COST SUMMARY</t>
  </si>
  <si>
    <t xml:space="preserve">  Deemed Land Value</t>
  </si>
  <si>
    <t xml:space="preserve">  Developer Fee</t>
  </si>
  <si>
    <t xml:space="preserve">  Sales Commission</t>
  </si>
  <si>
    <t>TOTAL PROJECT COST</t>
  </si>
  <si>
    <t>PROFIT SUMMARY</t>
  </si>
  <si>
    <t>TOTAL PROFIT</t>
  </si>
  <si>
    <t xml:space="preserve">  Developer Net Profit</t>
  </si>
  <si>
    <t xml:space="preserve">  Equity Partner Net Profit</t>
  </si>
  <si>
    <t>LOT SALES BY TYPE</t>
  </si>
  <si>
    <t>Net SF</t>
  </si>
  <si>
    <t>% Revenue</t>
  </si>
  <si>
    <t>ABSORPTION SCHEDULE</t>
  </si>
  <si>
    <t>Lot sales months 5-22 from project start (Feb 2026)</t>
  </si>
  <si>
    <t>Lots/Month</t>
  </si>
  <si>
    <t>Sales Start</t>
  </si>
  <si>
    <t>Sales End</t>
  </si>
  <si>
    <t>INTERNATIONAL TRADE PARK HOUSTON — JV WATERFALL</t>
  </si>
  <si>
    <t>8% Preferred Return + 50/50 Profit Split</t>
  </si>
  <si>
    <t>EQUITY STRUCTURE</t>
  </si>
  <si>
    <t>Equity Partner</t>
  </si>
  <si>
    <t>Developer</t>
  </si>
  <si>
    <t>Total</t>
  </si>
  <si>
    <t>Initial Contribution (Deemed Land)</t>
  </si>
  <si>
    <t>DISTRIBUTION WATERFALL</t>
  </si>
  <si>
    <t xml:space="preserve">  Step 1: Return of Capital (EP)</t>
  </si>
  <si>
    <t xml:space="preserve">  Step 2: 8% Preferred Return (EP)</t>
  </si>
  <si>
    <t>8% p.a. on $11.4M</t>
  </si>
  <si>
    <t xml:space="preserve">  Step 3: Return of Dev Capital</t>
  </si>
  <si>
    <t xml:space="preserve">  Step 4: 50/50 Profit Split</t>
  </si>
  <si>
    <t>Residual distributable profit</t>
  </si>
  <si>
    <t>Distributable Profit</t>
  </si>
  <si>
    <t xml:space="preserve">  50% to Equity Partner</t>
  </si>
  <si>
    <t xml:space="preserve">  50% to Developer</t>
  </si>
  <si>
    <t>RETURNS SUMMARY</t>
  </si>
  <si>
    <t>Total Distributions</t>
  </si>
  <si>
    <t>Net Profit</t>
  </si>
  <si>
    <t>IRR (Est.)</t>
  </si>
  <si>
    <t>Multiple (Est.)</t>
  </si>
  <si>
    <t>INTERNATIONAL TRADE PARK HOUSTON — CAPITAL EVENTS</t>
  </si>
  <si>
    <t>Scenario A: JV Partner Buyout  |  Scenario B: Full Development</t>
  </si>
  <si>
    <t>SCENARIO A: JV PARTNER BUYOUT</t>
  </si>
  <si>
    <t>SCENARIO B: FULL DEVELOPMENT</t>
  </si>
  <si>
    <t>Item</t>
  </si>
  <si>
    <t xml:space="preserve">  Buyout Date (Month)</t>
  </si>
  <si>
    <t>Approx. mid-project</t>
  </si>
  <si>
    <t xml:space="preserve">  Project Duration (Months)</t>
  </si>
  <si>
    <t>50 months</t>
  </si>
  <si>
    <t xml:space="preserve">  EP Contribution Returned</t>
  </si>
  <si>
    <t>Return of deemed land</t>
  </si>
  <si>
    <t>Lots + MUD</t>
  </si>
  <si>
    <t xml:space="preserve">  Preferred Return Accrued</t>
  </si>
  <si>
    <t>8% for 18 months</t>
  </si>
  <si>
    <t xml:space="preserve">  Total Project Cost</t>
  </si>
  <si>
    <t>All-in cost</t>
  </si>
  <si>
    <t xml:space="preserve">  Total Buyout Price</t>
  </si>
  <si>
    <t xml:space="preserve">  Total Profit</t>
  </si>
  <si>
    <t xml:space="preserve">  Developer Net Position</t>
  </si>
  <si>
    <t>Post-buyout dev profit</t>
  </si>
  <si>
    <t xml:space="preserve">  Developer Share (50%)</t>
  </si>
  <si>
    <t xml:space="preserve">  EP Share (50%)</t>
  </si>
  <si>
    <t>INTERNATIONAL TRADE PARK HOUSTON — BALANCE SHEET</t>
  </si>
  <si>
    <t>Day 1  |  50% Sold  |  Full Sellout</t>
  </si>
  <si>
    <t>EQUITY POSITION</t>
  </si>
  <si>
    <t>Day 1</t>
  </si>
  <si>
    <t>50% Sold</t>
  </si>
  <si>
    <t>Full Sellout</t>
  </si>
  <si>
    <t xml:space="preserve">  ASSETS</t>
  </si>
  <si>
    <t xml:space="preserve">  Land (Deemed Value)</t>
  </si>
  <si>
    <t xml:space="preserve">  Development in Progress</t>
  </si>
  <si>
    <t xml:space="preserve">  Cash / MUD Proceeds Received</t>
  </si>
  <si>
    <t xml:space="preserve">  Lot Receivables</t>
  </si>
  <si>
    <t>TOTAL ASSETS</t>
  </si>
  <si>
    <t xml:space="preserve">  LIABILITIES</t>
  </si>
  <si>
    <t xml:space="preserve">  Accrued Preferred Return</t>
  </si>
  <si>
    <t>TOTAL LIABILITIES</t>
  </si>
  <si>
    <t xml:space="preserve">  EQUITY</t>
  </si>
  <si>
    <t xml:space="preserve">  Equity Partner</t>
  </si>
  <si>
    <t xml:space="preserve">  Developer</t>
  </si>
  <si>
    <t xml:space="preserve">  Retained Earnings</t>
  </si>
  <si>
    <t>TOTAL EQUITY</t>
  </si>
  <si>
    <t>INTERNATIONAL TRADE PARK HOUSTON — P&amp;L STATEMENT</t>
  </si>
  <si>
    <t>Full Project Profit &amp; Loss</t>
  </si>
  <si>
    <t>REVENUE</t>
  </si>
  <si>
    <t xml:space="preserve">  Gross Lot Sales</t>
  </si>
  <si>
    <t xml:space="preserve">  Less: Sales Commission</t>
  </si>
  <si>
    <t>COST OF SALES (HARD COSTS)</t>
  </si>
  <si>
    <t>TOTAL COST OF SALES (HARD COSTS)</t>
  </si>
  <si>
    <t>OTHER PROJECT COSTS</t>
  </si>
  <si>
    <t xml:space="preserve">  Finance Costs</t>
  </si>
  <si>
    <t>TOTAL OTHER PROJECT COSTS</t>
  </si>
  <si>
    <t>GROSS PROFIT (EBITDA)</t>
  </si>
  <si>
    <t>FINANCE COSTS (Below EBITDA)</t>
  </si>
  <si>
    <t>TOTAL FINANCE COSTS</t>
  </si>
  <si>
    <t>NET PROFIT</t>
  </si>
  <si>
    <t>DISTRIBUTIONS</t>
  </si>
  <si>
    <t>Equity Partner (Return of Capital + Preferred + 50%)</t>
  </si>
  <si>
    <t>Developer (Dev Fee + 50% Profit)</t>
  </si>
  <si>
    <t>INTERNATIONAL TRADE PARK HOUSTON — SENSITIVITY ANALYSIS</t>
  </si>
  <si>
    <t>Lot Price/SF vs Lots Sold  |  Lot Price vs Hard Cost</t>
  </si>
  <si>
    <t>MATRIX 1: LOT PRICE/SF vs HARD COST — NET PROFIT</t>
  </si>
  <si>
    <t>Price/SF →</t>
  </si>
  <si>
    <t>80% HC</t>
  </si>
  <si>
    <t>85% HC</t>
  </si>
  <si>
    <t>90% HC</t>
  </si>
  <si>
    <t>95% HC</t>
  </si>
  <si>
    <t>100% HC</t>
  </si>
  <si>
    <t>105% HC</t>
  </si>
  <si>
    <t>110% HC</t>
  </si>
  <si>
    <t>115% HC</t>
  </si>
  <si>
    <t>120% HC</t>
  </si>
  <si>
    <t>Lot Price/SF ↓</t>
  </si>
  <si>
    <t>$5.00/SF</t>
  </si>
  <si>
    <t>$5.50/SF</t>
  </si>
  <si>
    <t>$6.00/SF</t>
  </si>
  <si>
    <t>$6.50/SF</t>
  </si>
  <si>
    <t>$7.00/SF</t>
  </si>
  <si>
    <t>$7.50/SF</t>
  </si>
  <si>
    <t>$8.00/SF</t>
  </si>
  <si>
    <t>$8.50/SF</t>
  </si>
  <si>
    <t>$9.00/SF</t>
  </si>
  <si>
    <t>MATRIX 2: LOT PRICE/SF vs LOTS SOLD — TOTAL REVENUE</t>
  </si>
  <si>
    <t>24 Lots</t>
  </si>
  <si>
    <t>26 Lots</t>
  </si>
  <si>
    <t>27 Lots</t>
  </si>
  <si>
    <t>28 Lots</t>
  </si>
  <si>
    <t>29 Lots</t>
  </si>
  <si>
    <t>30 Lots</t>
  </si>
  <si>
    <t>Green cells indicate base case / target scenario</t>
  </si>
  <si>
    <t>Capital Model  ·  User Guide &amp; Microsoft 365 Copilot Activation  ·  PLUSAdvantage™ 2026 — CONFIDENTIAL</t>
  </si>
  <si>
    <t>🚀  QUICK START — 5-MINUTE MODEL WALKTHROUGH</t>
  </si>
  <si>
    <t>1  →  Assumptions tab</t>
  </si>
  <si>
    <t>All blue/yellow cells are inputs. Verify lot prices, acreage, MUD bond amount, loan rate, and equity terms match your deal.</t>
  </si>
  <si>
    <t>2  →  Sources &amp; Uses</t>
  </si>
  <si>
    <t>Confirm the balancing check shows zero gap. Total sources must equal or exceed total uses.</t>
  </si>
  <si>
    <t>3  →  Monthly Cash Flow</t>
  </si>
  <si>
    <t>Scroll to see peak negative cash position — your max loan exposure. MUD bond issuances at months 15 &amp; 21 cover the shortfall.</t>
  </si>
  <si>
    <t>4  →  Pro Forma</t>
  </si>
  <si>
    <t>Review total revenue, total cost, and net profit. Confirm figures match your investment memo.</t>
  </si>
  <si>
    <t>5  →  JV Waterfall</t>
  </si>
  <si>
    <t>Verify the 4-step distribution: capital return → 8% preferred → dev capital → 50/50 profit split.</t>
  </si>
  <si>
    <t>6  →  Sensitivity</t>
  </si>
  <si>
    <t>Run Matrix 1 (lot price vs hard cost) to find your downside break-even scenario.</t>
  </si>
  <si>
    <t>7  →  Recalculate</t>
  </si>
  <si>
    <t>After any bulk changes press  Ctrl + Alt + F9  to force full recalculation across all 1,233 formulas.</t>
  </si>
  <si>
    <t>🎨  COLOR CODING &amp; FORMULA CONVENTIONS</t>
  </si>
  <si>
    <t>Style</t>
  </si>
  <si>
    <t>Action</t>
  </si>
  <si>
    <t xml:space="preserve">  </t>
  </si>
  <si>
    <t>Input Cell</t>
  </si>
  <si>
    <t>Blue text / Yellow background</t>
  </si>
  <si>
    <t>Edit freely — drives the entire model</t>
  </si>
  <si>
    <t>Formula</t>
  </si>
  <si>
    <t>Black text / White background</t>
  </si>
  <si>
    <t>Do NOT overwrite — calculated automatically</t>
  </si>
  <si>
    <t>Cross-Tab Link</t>
  </si>
  <si>
    <t>Green text / White background</t>
  </si>
  <si>
    <t>Pulls live data from another worksheet tab</t>
  </si>
  <si>
    <t>Total / Subtotal</t>
  </si>
  <si>
    <t>Bold / Cream background (#F5F0E8)</t>
  </si>
  <si>
    <t>Section aggregate — do not edit</t>
  </si>
  <si>
    <t>Section Header</t>
  </si>
  <si>
    <t>Gold fill / Navy bold text (#C9A84C)</t>
  </si>
  <si>
    <t>Category separator within a tab</t>
  </si>
  <si>
    <t>Title Bar</t>
  </si>
  <si>
    <t>Navy fill / Gold text (#1B2A4A)</t>
  </si>
  <si>
    <t>Tab title — top rows of each sheet</t>
  </si>
  <si>
    <t>Column Header</t>
  </si>
  <si>
    <t>Gray fill / Black bold (#D9D9D9)</t>
  </si>
  <si>
    <t>Column label row</t>
  </si>
  <si>
    <t>Warning / Loan</t>
  </si>
  <si>
    <t>Orange fill / Red text</t>
  </si>
  <si>
    <t>Estimated loan balance or alert</t>
  </si>
  <si>
    <t>Positive Inflow</t>
  </si>
  <si>
    <t>Light green fill (#E2EFDA)</t>
  </si>
  <si>
    <t>Lot sale receipts &amp; positive cash flows</t>
  </si>
  <si>
    <t>📂  TAB DIRECTORY — 16 TABS</t>
  </si>
  <si>
    <t>Tab Name</t>
  </si>
  <si>
    <t>Contents &amp; Purpose</t>
  </si>
  <si>
    <t>📋  User Instructions</t>
  </si>
  <si>
    <t>This guide. Copilot setup, color legend, tab directory, 60-prompt library, keyboard shortcuts.</t>
  </si>
  <si>
    <t>📊  Cover</t>
  </si>
  <si>
    <t>Project KPI tiles (12 metrics), tab navigation directory, color coding legend.</t>
  </si>
  <si>
    <t>⚙️  Assumptions</t>
  </si>
  <si>
    <t>ALL model inputs — lot pricing, acreage, timeline, hard costs, soft costs, MUD bonds, loan, equity terms. Start here.</t>
  </si>
  <si>
    <t>💰  Total Budget</t>
  </si>
  <si>
    <t>Full all-in budget: Land + Horizontal Improvements + Soft Costs + Vertical (placeholder) + Financing. $/lot and $/SF columns.</t>
  </si>
  <si>
    <t>🏗️  Land</t>
  </si>
  <si>
    <t>Parcel breakdown by use type, lot value analysis, land-to-value ratio, net revenue/acre, absorption schedule.</t>
  </si>
  <si>
    <t>🔧  Improvements</t>
  </si>
  <si>
    <t>Horizontal infrastructure detail with construction phasing schedule, unit cost benchmarks ($/LF per system).</t>
  </si>
  <si>
    <t>⚖️  Sources &amp; Uses</t>
  </si>
  <si>
    <t>Capital balancing statement: all uses vs all sources. Coverage ratios: MUD/HC, equity coverage, LTC, break-even price.</t>
  </si>
  <si>
    <t>📅  Monthly Cash Flow</t>
  </si>
  <si>
    <t>50-month timeline (Feb 2026–Mar 2030): phased hard/soft draws, lot proceeds months 5–22, MUD bonds months 15 &amp; 21, estimated loan balance.</t>
  </si>
  <si>
    <t>📋  Dev Budget</t>
  </si>
  <si>
    <t>Uses of Funds with % of total and $/SF columns. Sources side-by-side.</t>
  </si>
  <si>
    <t>🏦  Capital Stack</t>
  </si>
  <si>
    <t>MUD bond tranche breakdown, construction loan parameters, equity contribution, underwriting tests.</t>
  </si>
  <si>
    <t>📈  Pro Forma</t>
  </si>
  <si>
    <t>Revenue summary (lots + MUD), cost summary, profit KPIs, lot sales by type, absorption by product.</t>
  </si>
  <si>
    <t>🤝  JV Waterfall</t>
  </si>
  <si>
    <t>4-step distribution: (1) Return of capital → (2) 8% preferred → (3) Dev capital → (4) 50/50 profit split.</t>
  </si>
  <si>
    <t>🔄  Cap Events</t>
  </si>
  <si>
    <t>Scenario A: EP partner buyout at Month 18. Scenario B: Full development. Side-by-side comparison.</t>
  </si>
  <si>
    <t>📉  Balance Sheet</t>
  </si>
  <si>
    <t>Equity snapshot at Day 1, 50% Sold, and Full Sellout. Assets, liabilities, equity positions.</t>
  </si>
  <si>
    <t>💵  P&amp;L</t>
  </si>
  <si>
    <t>Full income statement: Revenue → EBITDA → Finance Costs → Net Profit → Distributions.</t>
  </si>
  <si>
    <t>🔬  Sensitivity</t>
  </si>
  <si>
    <t>Matrix 1: Lot price/SF vs Hard cost multiplier (9×9). Matrix 2: Lot price vs Lots sold (9×6). Green = base case.</t>
  </si>
  <si>
    <t>⚡  MICROSOFT 365 COPILOT — ACTIVATION &amp; SETUP</t>
  </si>
  <si>
    <t>Microsoft 365 Copilot is built into Excel and can read this model, answer questions, write formulas, generate charts, and analyze scenarios through natural language. Follow these steps to activate it.</t>
  </si>
  <si>
    <t xml:space="preserve">  STEP 1  ·  CONFIRM YOUR MICROSOFT 365 SUBSCRIPTION</t>
  </si>
  <si>
    <t>Requirement</t>
  </si>
  <si>
    <t>Copilot is available on Microsoft 365 Business Standard, Business Premium, E3, or E5 — plus the Copilot add-on license (~$30/user/mo).</t>
  </si>
  <si>
    <t>Check your plan</t>
  </si>
  <si>
    <t>Open any Office app → Account → About → look for 'Microsoft 365' in the product name.</t>
  </si>
  <si>
    <t>Admin required?</t>
  </si>
  <si>
    <t>Your IT admin must enable Copilot in the Microsoft 365 admin center (admin.microsoft.com) before it appears for users.</t>
  </si>
  <si>
    <t>Free trial</t>
  </si>
  <si>
    <t>Go to microsoft.com/en-us/microsoft-365/copilot and start a 30-day trial.</t>
  </si>
  <si>
    <t xml:space="preserve">  STEP 2  ·  OPEN THIS FILE IN EXCEL FOR MICROSOFT 365 (DESKTOP)</t>
  </si>
  <si>
    <t>Use Desktop App</t>
  </si>
  <si>
    <t>Copilot works in the Excel desktop app (not Excel Online for complex models). Open Excel, not your browser.</t>
  </si>
  <si>
    <t>Save to OneDrive / SharePoint</t>
  </si>
  <si>
    <t>File → Save As → OneDrive or SharePoint. Local .xlsx files on your desktop will not show Copilot.</t>
  </si>
  <si>
    <t>Enable AutoSave</t>
  </si>
  <si>
    <t>Toggle AutoSave ON in the top-left toolbar. This activates Copilot access.</t>
  </si>
  <si>
    <t>Check version</t>
  </si>
  <si>
    <t>File → Account → Update Options → Update Now. Requires Excel version 2306 or later (build 16.0.16731+).</t>
  </si>
  <si>
    <t xml:space="preserve">  STEP 3  ·  OPEN THE COPILOT PANE IN EXCEL</t>
  </si>
  <si>
    <t>Ribbon button</t>
  </si>
  <si>
    <t>Click the Home tab → look for the Copilot button (✦ sparkle icon) on the far right of the ribbon.</t>
  </si>
  <si>
    <t>Keyboard shortcut</t>
  </si>
  <si>
    <t>Alt + M, C  (Windows) — or search the ribbon bar and type 'Copilot'.</t>
  </si>
  <si>
    <t>Side pane opens</t>
  </si>
  <si>
    <t>The Copilot chat pane slides in from the right side. Resize it by dragging the divider.</t>
  </si>
  <si>
    <t>Not seeing it?</t>
  </si>
  <si>
    <t>If grayed out: (1) file saved to OneDrive, (2) AutoSave is ON, (3) license includes Copilot.</t>
  </si>
  <si>
    <t xml:space="preserve">  STEP 4  ·  REFERENCE THIS MODEL IN YOUR COPILOT PROMPTS</t>
  </si>
  <si>
    <t>Copilot reads the active sheet</t>
  </si>
  <si>
    <t>Copilot analyzes whichever tab you're on. Navigate to the right tab before asking.</t>
  </si>
  <si>
    <t>Reference named ranges</t>
  </si>
  <si>
    <t>Click on a table or named range before prompting — Copilot anchors its analysis there.</t>
  </si>
  <si>
    <t>Cross-tab questions</t>
  </si>
  <si>
    <t>For multi-tab questions (e.g. 'how does Assumptions feed into P&amp;L'), navigate to P&amp;L first, then ask.</t>
  </si>
  <si>
    <t>Best prompt format</t>
  </si>
  <si>
    <t>Be specific: include the tab name, the metric, and the scenario. See Prompt Library below.</t>
  </si>
  <si>
    <t>Copilot cannot edit inputs</t>
  </si>
  <si>
    <t>Copilot reads and explains — it won't overwrite blue cells unless you explicitly ask it to and confirm.</t>
  </si>
  <si>
    <t xml:space="preserve">  STEP 5  ·  ADVANCED — PYTHON IN EXCEL &amp; OFFICE SCRIPTS</t>
  </si>
  <si>
    <t>Python in Excel</t>
  </si>
  <si>
    <t>Microsoft 365 Insider (Beta channel) includes Python in Excel — type =PY( in any cell to write Python that reads your data.</t>
  </si>
  <si>
    <t>Copilot Labs</t>
  </si>
  <si>
    <t>Join the Microsoft 365 Insider program (insider.microsoft365.com) for early access to experimental Copilot features.</t>
  </si>
  <si>
    <t>Office Scripts</t>
  </si>
  <si>
    <t>Record and run Office Scripts (Home → Automate tab) to automate repetitive tasks across this model.</t>
  </si>
  <si>
    <t xml:space="preserve">  🔧  TROUBLESHOOTING — QUICK REFERENCE</t>
  </si>
  <si>
    <t>Copilot button is grayed out</t>
  </si>
  <si>
    <t>File must be saved to OneDrive/SharePoint with AutoSave ON. Local files are not supported.</t>
  </si>
  <si>
    <t>'Copilot is not available for this file'</t>
  </si>
  <si>
    <t>File may be in Compatibility Mode. Save as .xlsx: File → Save As → .xlsx.</t>
  </si>
  <si>
    <t>Copilot gives wrong numbers</t>
  </si>
  <si>
    <t>Navigate to the specific tab first. Copilot reads the active sheet — wrong tab = wrong context.</t>
  </si>
  <si>
    <t>Can't find the Copilot button</t>
  </si>
  <si>
    <t>Update Excel: File → Account → Update Options → Update Now. Need build 16.0.16731+.</t>
  </si>
  <si>
    <t>Copilot is slow</t>
  </si>
  <si>
    <t>Models with 1,000+ formulas can take a few seconds. Monthly Cash Flow is heaviest — be patient.</t>
  </si>
  <si>
    <t>Formula suggestions look wrong</t>
  </si>
  <si>
    <t>Press Ctrl+Alt+F9 to fully recalculate the workbook before asking Copilot about formula results.</t>
  </si>
  <si>
    <t>💬  MICROSOFT 365 COPILOT PROMPT LIBRARY — 60 PROMPTS</t>
  </si>
  <si>
    <t>Copy any prompt directly into the Copilot pane in Excel. Navigate to the indicated tab first. ⚡ prompts generate charts or perform multi-step analysis.</t>
  </si>
  <si>
    <t>Tab / Context</t>
  </si>
  <si>
    <t>Copilot Prompt  (⚡ = chart / advanced)</t>
  </si>
  <si>
    <t>[Assumptions]</t>
  </si>
  <si>
    <t>What happens to total profit if I drop all lot prices by 10%?</t>
  </si>
  <si>
    <t>Show me the developer fee calculation step by step.</t>
  </si>
  <si>
    <t>If I increase hard costs by $2M, what is the new total project cost and net profit?</t>
  </si>
  <si>
    <t>What is the break-even lot price per SF to achieve zero profit on this deal?</t>
  </si>
  <si>
    <t>⚡ Summarize all blue input cells and flag any that seem unusually high or low for a Houston industrial land deal.</t>
  </si>
  <si>
    <t>If MUD bond proceeds increase to $26M, how does that affect the net profit?</t>
  </si>
  <si>
    <t>What is the effective all-in cost per net SF of development at current assumptions?</t>
  </si>
  <si>
    <t>Lower the equity partner preferred return to 6% — what is the new EP distribution?</t>
  </si>
  <si>
    <t>[Total Budget]</t>
  </si>
  <si>
    <t>Which cost category is the largest percentage of the total budget?</t>
  </si>
  <si>
    <t>⚡ Create a bar chart of budget categories by dollar amount.</t>
  </si>
  <si>
    <t>What is the cost per lot for horizontal improvements only?</t>
  </si>
  <si>
    <t>How does the land cost compare to total hard costs as a percentage?</t>
  </si>
  <si>
    <t>If vertical construction costs were added at $50/SF, what would the new total budget be?</t>
  </si>
  <si>
    <t>[Land]</t>
  </si>
  <si>
    <t>What is the average lot size in acres across all three product types?</t>
  </si>
  <si>
    <t>⚡ Create a pie chart of acreage by use type: Industrial, Retail, and Multifamily.</t>
  </si>
  <si>
    <t>What is the land-to-value ratio and how does it compare to typical Texas land deals?</t>
  </si>
  <si>
    <t>How many months does it take to sell all 30 lots at the current absorption rate?</t>
  </si>
  <si>
    <t>What is the net revenue per saleable acre at current pricing?</t>
  </si>
  <si>
    <t>[Improvements]</t>
  </si>
  <si>
    <t>Which infrastructure system has the highest cost per linear foot?</t>
  </si>
  <si>
    <t>Storm sewer is the largest hard cost — what percentage of total hard costs does it represent?</t>
  </si>
  <si>
    <t>⚡ Show a timeline chart of when each infrastructure system is being built across the 50-month schedule.</t>
  </si>
  <si>
    <t>If the roadway budget increases 20%, what is the new total hard cost?</t>
  </si>
  <si>
    <t>What is the contingency as a percentage of base hard costs?</t>
  </si>
  <si>
    <t>[Sources &amp; Uses]</t>
  </si>
  <si>
    <t>Is this model in balance — do total sources equal total uses?</t>
  </si>
  <si>
    <t>What is the MUD bond coverage ratio relative to total hard costs?</t>
  </si>
  <si>
    <t>⚡ Create a waterfall chart showing the capital stack from equity through MUD bonds to lot proceeds.</t>
  </si>
  <si>
    <t>If lot prices drop 15%, is the deal still fully funded by sources?</t>
  </si>
  <si>
    <t>What is the loan-to-cost ratio at current assumptions?</t>
  </si>
  <si>
    <t>[Monthly Cash Flow]</t>
  </si>
  <si>
    <t>In which month does the project hit peak negative cash flow, and by how much?</t>
  </si>
  <si>
    <t>⚡ Create a line chart of cumulative cash flow across all 50 months.</t>
  </si>
  <si>
    <t>When do MUD bond proceeds arrive and how much does each issuance cover in outstanding draws?</t>
  </si>
  <si>
    <t>What is the total hard cost draw in month 6 vs month 18?</t>
  </si>
  <si>
    <t>In which month does the estimated loan balance reach zero?</t>
  </si>
  <si>
    <t>How much of the total budget is drawn in the first 12 months?</t>
  </si>
  <si>
    <t>[Dev Budget]</t>
  </si>
  <si>
    <t>Summarize the uses of funds — what are the top 3 cost categories?</t>
  </si>
  <si>
    <t>What is the cost per net SF for each line item in the budget?</t>
  </si>
  <si>
    <t>⚡ Create a pie chart of Uses of Funds by category.</t>
  </si>
  <si>
    <t>Is the developer fee reasonable for this deal size? How does it compare to industry norms?</t>
  </si>
  <si>
    <t>[Capital Stack]</t>
  </si>
  <si>
    <t>Walk me through the capital stack from cheapest to most expensive source of capital.</t>
  </si>
  <si>
    <t>What is the weighted average cost of capital for this deal?</t>
  </si>
  <si>
    <t>If the construction loan interest rate rises to 14%, what is the new total finance cost?</t>
  </si>
  <si>
    <t>⚡ Show me the capital stack as a stacked bar chart with equity, MUD bonds, and loan.</t>
  </si>
  <si>
    <t>[Pro Forma]</t>
  </si>
  <si>
    <t>What is the gross profit margin on lot sales before finance costs?</t>
  </si>
  <si>
    <t>If 5 fewer lots sell, what is the revised profit and developer net share?</t>
  </si>
  <si>
    <t>⚡ Create a waterfall chart from gross revenue to net profit showing each cost deduction.</t>
  </si>
  <si>
    <t>What percentage of total revenue comes from MUD bonds vs lot sales?</t>
  </si>
  <si>
    <t>[JV Waterfall]</t>
  </si>
  <si>
    <t>Walk me through each distribution step and explain the logic in plain English.</t>
  </si>
  <si>
    <t>At what total profit level does the equity partner reach a 2.0x multiple on invested capital?</t>
  </si>
  <si>
    <t>If the 50/50 split changes to 60/40 in favor of the developer, what is the new EP payout?</t>
  </si>
  <si>
    <t>How much total cash does the equity partner receive across all four waterfall steps?</t>
  </si>
  <si>
    <t>[Cap Events]</t>
  </si>
  <si>
    <t>Compare Scenario A (EP buyout) vs Scenario B (full development) for the developer net profit.</t>
  </si>
  <si>
    <t>At what buyout month does the EP buyout price equal the full development EP payout?</t>
  </si>
  <si>
    <t>[Balance Sheet]</t>
  </si>
  <si>
    <t>What is total equity at the 50% sold milestone?</t>
  </si>
  <si>
    <t>⚡ Create a simple chart comparing equity position at Day 1, 50% Sold, and Full Sellout.</t>
  </si>
  <si>
    <t>[P&amp;L]</t>
  </si>
  <si>
    <t>What is the EBITDA margin as a percentage of total revenue?</t>
  </si>
  <si>
    <t>⚡ Create a waterfall chart from revenue to net profit showing each cost layer.</t>
  </si>
  <si>
    <t>What are the top 3 cost items as a percentage of revenue?</t>
  </si>
  <si>
    <t>[Sensitivity]</t>
  </si>
  <si>
    <t>⚡ Highlight all cells in Matrix 1 where profit exceeds $20M in green.</t>
  </si>
  <si>
    <t>At $6.50/SF lot price and 1.10x hard costs, is the deal profitable?</t>
  </si>
  <si>
    <t>What lot price per SF guarantees a positive profit at the worst-case 1.20x hard cost scenario?</t>
  </si>
  <si>
    <t>[General]</t>
  </si>
  <si>
    <t>Create a 5-bullet executive summary of this deal suitable for an investor presentation.</t>
  </si>
  <si>
    <t>What are the top 3 risks to project profitability and how would you mitigate each?</t>
  </si>
  <si>
    <t>⚡ Summarize this entire workbook and produce a one-page deal synopsis with key metrics.</t>
  </si>
  <si>
    <t>⌨️  EXCEL 365 KEYBOARD SHORTCUTS FOR THIS MODEL</t>
  </si>
  <si>
    <t>Shortcut</t>
  </si>
  <si>
    <t>Ctrl + Alt + F9</t>
  </si>
  <si>
    <t>Force full workbook recalculation — run this after changing any assumptions</t>
  </si>
  <si>
    <t>Ctrl + `  (backtick)</t>
  </si>
  <si>
    <t>Toggle between showing formulas and values on the active sheet</t>
  </si>
  <si>
    <t>Ctrl + Shift + F9</t>
  </si>
  <si>
    <t>Rebuild dependency tree and recalculate (slower but more thorough)</t>
  </si>
  <si>
    <t>Alt + M, C</t>
  </si>
  <si>
    <t>Open Copilot pane (Windows only)</t>
  </si>
  <si>
    <t>Ctrl + F</t>
  </si>
  <si>
    <t>Find — search for any value, label, or formula across the active sheet</t>
  </si>
  <si>
    <t>Ctrl + G → Special</t>
  </si>
  <si>
    <t>Go To Special → select all yellow input cells at once</t>
  </si>
  <si>
    <t>F5 → Special → Formulas</t>
  </si>
  <si>
    <t>Select all formula cells on the active sheet</t>
  </si>
  <si>
    <t>Ctrl + [</t>
  </si>
  <si>
    <t>Trace precedents — jump to the source cell a formula references</t>
  </si>
  <si>
    <t>Ctrl + ]</t>
  </si>
  <si>
    <t>Trace dependents — find all cells that reference the selected cell</t>
  </si>
  <si>
    <t>Alt + F1</t>
  </si>
  <si>
    <t>Insert a quick chart from the currently selected data range</t>
  </si>
  <si>
    <t>Ctrl + Shift + L</t>
  </si>
  <si>
    <t>Toggle AutoFilter on/off for the selected table</t>
  </si>
  <si>
    <t>Alt + =</t>
  </si>
  <si>
    <t>AutoSum — insert SUM formula for the selected range</t>
  </si>
  <si>
    <t>Ctrl + Page Up / Down</t>
  </si>
  <si>
    <t>Navigate between worksheet tabs quickly</t>
  </si>
  <si>
    <t>Ctrl + Home</t>
  </si>
  <si>
    <t>Jump to cell A1 on the active sheet</t>
  </si>
  <si>
    <t>PLUSAdvantage™ 2026  —  CONFIDENTIAL  |  International Trade Park Houston Capital Model  |  All formulas live — zero hardcoded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</si>
</sst>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_);&quot;($&quot;#,##0\);\-"/>
    <numFmt numFmtId="166" formatCode="0.0%"/>
    <numFmt numFmtId="167" formatCode="0.00\x"/>
  </numFmts>
  <fonts count="41" x14ac:knownFonts="1">
    <font>
      <sz val="11"/>
      <color theme="1"/>
      <name val="Calibri"/>
      <family val="2"/>
      <charset val="1"/>
    </font>
    <font>
      <b/>
      <sz val="18"/>
      <color rgb="FFC9A84C"/>
      <name val="Arial"/>
      <charset val="1"/>
    </font>
    <font>
      <b/>
      <sz val="11"/>
      <color rgb="FFFFFFFF"/>
      <name val="Arial"/>
      <charset val="1"/>
    </font>
    <font>
      <b/>
      <sz val="10"/>
      <color rgb="FF1B2A4A"/>
      <name val="Arial"/>
      <charset val="1"/>
    </font>
    <font>
      <b/>
      <sz val="13"/>
      <color rgb="FFC9A84C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C9A84C"/>
      <name val="Arial"/>
      <charset val="1"/>
    </font>
    <font>
      <b/>
      <sz val="14"/>
      <color rgb="FFC9A84C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FFFF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2"/>
      <color rgb="FF000000"/>
      <name val="Arial"/>
      <charset val="1"/>
    </font>
    <font>
      <sz val="9"/>
      <name val="Arial"/>
      <charset val="1"/>
    </font>
    <font>
      <sz val="8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1B2A4A"/>
      <name val="Arial"/>
      <charset val="1"/>
    </font>
    <font>
      <b/>
      <sz val="8"/>
      <color rgb="FF1B2A4A"/>
      <name val="Arial"/>
      <charset val="1"/>
    </font>
    <font>
      <b/>
      <sz val="8"/>
      <color rgb="FF000000"/>
      <name val="Arial"/>
      <charset val="1"/>
    </font>
    <font>
      <sz val="8"/>
      <color rgb="FF008000"/>
      <name val="Arial"/>
      <charset val="1"/>
    </font>
    <font>
      <b/>
      <sz val="9"/>
      <name val="Arial"/>
      <charset val="1"/>
    </font>
    <font>
      <b/>
      <sz val="8"/>
      <name val="Arial"/>
      <charset val="1"/>
    </font>
    <font>
      <b/>
      <sz val="9"/>
      <color rgb="FFFF0000"/>
      <name val="Arial"/>
      <charset val="1"/>
    </font>
    <font>
      <b/>
      <sz val="8"/>
      <color rgb="FFFF000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color rgb="FF1B2A4A"/>
      <name val="Arial"/>
      <charset val="1"/>
    </font>
    <font>
      <sz val="9"/>
      <color rgb="FF000000"/>
      <name val="Arial"/>
      <charset val="1"/>
    </font>
    <font>
      <b/>
      <sz val="16"/>
      <color rgb="FFC9A84C"/>
      <name val="Arial"/>
      <charset val="1"/>
    </font>
    <font>
      <i/>
      <sz val="10"/>
      <color rgb="FFFFFFFF"/>
      <name val="Arial"/>
      <charset val="1"/>
    </font>
    <font>
      <b/>
      <sz val="11"/>
      <color rgb="FFC9A84C"/>
      <name val="Arial"/>
      <charset val="1"/>
    </font>
    <font>
      <b/>
      <sz val="10"/>
      <color rgb="FF0000FF"/>
      <name val="Arial"/>
      <charset val="1"/>
    </font>
    <font>
      <b/>
      <sz val="10"/>
      <color rgb="FF008000"/>
      <name val="Arial"/>
      <charset val="1"/>
    </font>
    <font>
      <b/>
      <sz val="10"/>
      <color rgb="FFFF0000"/>
      <name val="Arial"/>
      <charset val="1"/>
    </font>
    <font>
      <i/>
      <sz val="10"/>
      <color rgb="FF000000"/>
      <name val="Arial"/>
      <charset val="1"/>
    </font>
    <font>
      <i/>
      <sz val="10"/>
      <color rgb="FF595959"/>
      <name val="Arial"/>
      <charset val="1"/>
    </font>
    <font>
      <b/>
      <sz val="9"/>
      <color rgb="FFC9A84C"/>
      <name val="Arial"/>
      <charset val="1"/>
    </font>
    <font>
      <i/>
      <sz val="9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FF9900"/>
      </patternFill>
    </fill>
    <fill>
      <patternFill patternType="solid">
        <fgColor rgb="FFF5F0E8"/>
        <bgColor rgb="FFFFF0F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CE6F1"/>
      </patternFill>
    </fill>
    <fill>
      <patternFill patternType="solid">
        <fgColor rgb="FFFFFFFF"/>
        <bgColor rgb="FFFFF0F0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F5F0E8"/>
      </patternFill>
    </fill>
    <fill>
      <patternFill patternType="solid">
        <fgColor rgb="FFFFF0F0"/>
        <b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0" borderId="0" xfId="0" applyFont="1"/>
    <xf numFmtId="0" fontId="5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6" fillId="4" borderId="0" xfId="0" applyFont="1" applyFill="1"/>
    <xf numFmtId="0" fontId="3" fillId="3" borderId="0" xfId="0" applyFont="1" applyFill="1"/>
    <xf numFmtId="0" fontId="7" fillId="2" borderId="0" xfId="0" applyFont="1" applyFill="1"/>
    <xf numFmtId="0" fontId="10" fillId="0" borderId="0" xfId="0" applyFont="1" applyAlignment="1">
      <alignment horizontal="left" vertical="center"/>
    </xf>
    <xf numFmtId="49" fontId="11" fillId="5" borderId="0" xfId="0" applyNumberFormat="1" applyFont="1" applyFill="1" applyAlignment="1">
      <alignment horizontal="right" vertical="center"/>
    </xf>
    <xf numFmtId="3" fontId="11" fillId="5" borderId="0" xfId="0" applyNumberFormat="1" applyFont="1" applyFill="1" applyAlignment="1">
      <alignment horizontal="right" vertical="center"/>
    </xf>
    <xf numFmtId="2" fontId="11" fillId="5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center" vertical="center"/>
    </xf>
    <xf numFmtId="164" fontId="11" fillId="5" borderId="0" xfId="0" applyNumberFormat="1" applyFont="1" applyFill="1" applyAlignment="1">
      <alignment horizontal="right" vertical="center"/>
    </xf>
    <xf numFmtId="165" fontId="11" fillId="5" borderId="0" xfId="0" applyNumberFormat="1" applyFont="1" applyFill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5" fontId="6" fillId="4" borderId="0" xfId="0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166" fontId="6" fillId="4" borderId="0" xfId="0" applyNumberFormat="1" applyFont="1" applyFill="1" applyAlignment="1">
      <alignment horizontal="right" vertical="center"/>
    </xf>
    <xf numFmtId="166" fontId="11" fillId="5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165" fontId="15" fillId="4" borderId="0" xfId="0" applyNumberFormat="1" applyFont="1" applyFill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3" fontId="6" fillId="4" borderId="0" xfId="0" applyNumberFormat="1" applyFont="1" applyFill="1" applyAlignment="1">
      <alignment horizontal="right" vertical="center"/>
    </xf>
    <xf numFmtId="2" fontId="6" fillId="4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right" vertical="center"/>
    </xf>
    <xf numFmtId="165" fontId="18" fillId="7" borderId="0" xfId="0" applyNumberFormat="1" applyFont="1" applyFill="1" applyAlignment="1">
      <alignment horizontal="right" vertical="center"/>
    </xf>
    <xf numFmtId="0" fontId="19" fillId="4" borderId="0" xfId="0" applyFont="1" applyFill="1"/>
    <xf numFmtId="165" fontId="20" fillId="4" borderId="0" xfId="0" applyNumberFormat="1" applyFont="1" applyFill="1" applyAlignment="1">
      <alignment horizontal="right" vertical="center"/>
    </xf>
    <xf numFmtId="0" fontId="19" fillId="8" borderId="0" xfId="0" applyFont="1" applyFill="1"/>
    <xf numFmtId="165" fontId="21" fillId="8" borderId="0" xfId="0" applyNumberFormat="1" applyFont="1" applyFill="1" applyAlignment="1">
      <alignment horizontal="right" vertical="center"/>
    </xf>
    <xf numFmtId="165" fontId="22" fillId="0" borderId="0" xfId="0" applyNumberFormat="1" applyFont="1" applyAlignment="1">
      <alignment horizontal="right" vertical="center"/>
    </xf>
    <xf numFmtId="0" fontId="19" fillId="9" borderId="0" xfId="0" applyFont="1" applyFill="1"/>
    <xf numFmtId="165" fontId="21" fillId="9" borderId="0" xfId="0" applyNumberFormat="1" applyFont="1" applyFill="1" applyAlignment="1">
      <alignment horizontal="right" vertical="center"/>
    </xf>
    <xf numFmtId="0" fontId="23" fillId="6" borderId="0" xfId="0" applyFont="1" applyFill="1"/>
    <xf numFmtId="165" fontId="24" fillId="6" borderId="0" xfId="0" applyNumberFormat="1" applyFont="1" applyFill="1" applyAlignment="1">
      <alignment horizontal="right" vertical="center"/>
    </xf>
    <xf numFmtId="0" fontId="25" fillId="10" borderId="0" xfId="0" applyFont="1" applyFill="1"/>
    <xf numFmtId="165" fontId="26" fillId="10" borderId="0" xfId="0" applyNumberFormat="1" applyFont="1" applyFill="1" applyAlignment="1">
      <alignment horizontal="right" vertical="center"/>
    </xf>
    <xf numFmtId="165" fontId="25" fillId="10" borderId="0" xfId="0" applyNumberFormat="1" applyFont="1" applyFill="1" applyAlignment="1">
      <alignment horizontal="right" vertical="center"/>
    </xf>
    <xf numFmtId="0" fontId="27" fillId="0" borderId="0" xfId="0" applyFont="1" applyAlignment="1">
      <alignment horizontal="left" vertical="center"/>
    </xf>
    <xf numFmtId="167" fontId="11" fillId="5" borderId="0" xfId="0" applyNumberFormat="1" applyFont="1" applyFill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165" fontId="29" fillId="4" borderId="0" xfId="0" applyNumberFormat="1" applyFont="1" applyFill="1" applyAlignment="1">
      <alignment horizontal="right" vertical="center"/>
    </xf>
    <xf numFmtId="165" fontId="30" fillId="0" borderId="0" xfId="0" applyNumberFormat="1" applyFont="1" applyAlignment="1">
      <alignment horizontal="right" vertical="center"/>
    </xf>
    <xf numFmtId="165" fontId="30" fillId="8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5" fontId="16" fillId="8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7" fillId="6" borderId="0" xfId="0" applyFont="1" applyFill="1" applyAlignment="1">
      <alignment horizontal="center" vertical="center"/>
    </xf>
    <xf numFmtId="0" fontId="0" fillId="5" borderId="0" xfId="0" applyFill="1"/>
    <xf numFmtId="0" fontId="34" fillId="5" borderId="0" xfId="0" applyFont="1" applyFill="1" applyAlignment="1">
      <alignment horizontal="left" vertical="center" indent="1"/>
    </xf>
    <xf numFmtId="0" fontId="14" fillId="0" borderId="0" xfId="0" applyFont="1" applyAlignment="1">
      <alignment horizontal="left" vertical="center" wrapText="1"/>
    </xf>
    <xf numFmtId="0" fontId="0" fillId="7" borderId="0" xfId="0" applyFill="1"/>
    <xf numFmtId="0" fontId="6" fillId="7" borderId="0" xfId="0" applyFont="1" applyFill="1" applyAlignment="1">
      <alignment horizontal="left" vertical="center" indent="1"/>
    </xf>
    <xf numFmtId="0" fontId="35" fillId="7" borderId="0" xfId="0" applyFont="1" applyFill="1" applyAlignment="1">
      <alignment horizontal="left" vertical="center" indent="1"/>
    </xf>
    <xf numFmtId="0" fontId="0" fillId="4" borderId="0" xfId="0" applyFill="1"/>
    <xf numFmtId="0" fontId="6" fillId="4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0" fillId="2" borderId="0" xfId="0" applyFill="1"/>
    <xf numFmtId="0" fontId="7" fillId="2" borderId="0" xfId="0" applyFont="1" applyFill="1" applyAlignment="1">
      <alignment horizontal="left" vertical="center" indent="1"/>
    </xf>
    <xf numFmtId="0" fontId="0" fillId="6" borderId="0" xfId="0" applyFill="1"/>
    <xf numFmtId="0" fontId="6" fillId="6" borderId="0" xfId="0" applyFont="1" applyFill="1" applyAlignment="1">
      <alignment horizontal="left" vertical="center" indent="1"/>
    </xf>
    <xf numFmtId="0" fontId="0" fillId="10" borderId="0" xfId="0" applyFill="1"/>
    <xf numFmtId="0" fontId="36" fillId="10" borderId="0" xfId="0" applyFont="1" applyFill="1" applyAlignment="1">
      <alignment horizontal="left" vertical="center" indent="1"/>
    </xf>
    <xf numFmtId="0" fontId="0" fillId="8" borderId="0" xfId="0" applyFill="1"/>
    <xf numFmtId="0" fontId="6" fillId="8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top" indent="1"/>
    </xf>
    <xf numFmtId="0" fontId="3" fillId="0" borderId="0" xfId="0" applyFont="1" applyAlignment="1">
      <alignment horizontal="left" vertical="top" wrapText="1"/>
    </xf>
    <xf numFmtId="0" fontId="36" fillId="11" borderId="0" xfId="0" applyFont="1" applyFill="1" applyAlignment="1">
      <alignment horizontal="left" vertical="top" wrapText="1"/>
    </xf>
    <xf numFmtId="0" fontId="5" fillId="11" borderId="0" xfId="0" applyFont="1" applyFill="1" applyAlignment="1">
      <alignment horizontal="left" vertical="top" wrapText="1"/>
    </xf>
    <xf numFmtId="0" fontId="19" fillId="4" borderId="0" xfId="0" applyFont="1" applyFill="1" applyAlignment="1">
      <alignment horizontal="center" vertical="top"/>
    </xf>
    <xf numFmtId="0" fontId="30" fillId="7" borderId="0" xfId="0" applyFont="1" applyFill="1" applyAlignment="1">
      <alignment horizontal="left" vertical="top" wrapText="1"/>
    </xf>
    <xf numFmtId="0" fontId="39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 wrapText="1" indent="1"/>
    </xf>
    <xf numFmtId="0" fontId="37" fillId="7" borderId="0" xfId="0" applyFont="1" applyFill="1" applyAlignment="1">
      <alignment horizontal="left" vertical="center" wrapText="1" indent="1"/>
    </xf>
    <xf numFmtId="0" fontId="3" fillId="6" borderId="0" xfId="0" applyFont="1" applyFill="1" applyAlignment="1">
      <alignment horizontal="left" vertical="center" wrapText="1" indent="1"/>
    </xf>
    <xf numFmtId="0" fontId="36" fillId="11" borderId="0" xfId="0" applyFont="1" applyFill="1" applyAlignment="1">
      <alignment horizontal="left" vertical="center" wrapText="1" indent="1"/>
    </xf>
    <xf numFmtId="0" fontId="38" fillId="7" borderId="0" xfId="0" applyFont="1" applyFill="1" applyAlignment="1">
      <alignment horizontal="left" vertical="center" wrapText="1" indent="1"/>
    </xf>
    <xf numFmtId="0" fontId="4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0E8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0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topLeftCell="A20" zoomScaleNormal="100" workbookViewId="0">
      <selection sqref="A1:H1"/>
    </sheetView>
  </sheetViews>
  <sheetFormatPr defaultColWidth="8.6640625" defaultRowHeight="14.25" x14ac:dyDescent="0.45"/>
  <cols>
    <col min="1" max="8" width="18" customWidth="1"/>
  </cols>
  <sheetData>
    <row r="1" spans="1:8" ht="27.75" customHeight="1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7.75" customHeight="1" x14ac:dyDescent="0.45">
      <c r="A2" s="13" t="s">
        <v>1</v>
      </c>
      <c r="B2" s="13"/>
      <c r="C2" s="13"/>
      <c r="D2" s="13"/>
      <c r="E2" s="13"/>
      <c r="F2" s="13"/>
      <c r="G2" s="13"/>
      <c r="H2" s="13"/>
    </row>
    <row r="4" spans="1:8" ht="18" customHeight="1" x14ac:dyDescent="0.45">
      <c r="A4" s="15" t="s">
        <v>2</v>
      </c>
      <c r="B4" s="16"/>
      <c r="C4" s="16"/>
      <c r="D4" s="16"/>
      <c r="E4" s="16"/>
      <c r="F4" s="16"/>
      <c r="G4" s="16"/>
      <c r="H4" s="16"/>
    </row>
    <row r="6" spans="1:8" ht="18" customHeight="1" x14ac:dyDescent="0.45">
      <c r="A6" s="12" t="s">
        <v>3</v>
      </c>
      <c r="B6" s="12"/>
      <c r="C6" s="12" t="s">
        <v>4</v>
      </c>
      <c r="D6" s="12"/>
      <c r="E6" s="12" t="s">
        <v>5</v>
      </c>
      <c r="F6" s="12"/>
      <c r="G6" s="12" t="s">
        <v>6</v>
      </c>
      <c r="H6" s="12"/>
    </row>
    <row r="7" spans="1:8" ht="21.75" customHeight="1" x14ac:dyDescent="0.45">
      <c r="A7" s="11" t="s">
        <v>7</v>
      </c>
      <c r="B7" s="11"/>
      <c r="C7" s="11" t="s">
        <v>8</v>
      </c>
      <c r="D7" s="11"/>
      <c r="E7" s="11" t="s">
        <v>9</v>
      </c>
      <c r="F7" s="11"/>
      <c r="G7" s="11" t="s">
        <v>10</v>
      </c>
      <c r="H7" s="11"/>
    </row>
    <row r="9" spans="1:8" ht="18" customHeight="1" x14ac:dyDescent="0.45">
      <c r="A9" s="12" t="s">
        <v>11</v>
      </c>
      <c r="B9" s="12"/>
      <c r="C9" s="12" t="s">
        <v>12</v>
      </c>
      <c r="D9" s="12"/>
      <c r="E9" s="12" t="s">
        <v>13</v>
      </c>
      <c r="F9" s="12"/>
      <c r="G9" s="12" t="s">
        <v>14</v>
      </c>
      <c r="H9" s="12"/>
    </row>
    <row r="10" spans="1:8" ht="21.75" customHeight="1" x14ac:dyDescent="0.45">
      <c r="A10" s="11" t="s">
        <v>15</v>
      </c>
      <c r="B10" s="11"/>
      <c r="C10" s="11" t="s">
        <v>16</v>
      </c>
      <c r="D10" s="11"/>
      <c r="E10" s="11" t="s">
        <v>17</v>
      </c>
      <c r="F10" s="11"/>
      <c r="G10" s="11" t="s">
        <v>18</v>
      </c>
      <c r="H10" s="11"/>
    </row>
    <row r="12" spans="1:8" ht="18" customHeight="1" x14ac:dyDescent="0.45">
      <c r="A12" s="12" t="s">
        <v>19</v>
      </c>
      <c r="B12" s="12"/>
      <c r="C12" s="12" t="s">
        <v>20</v>
      </c>
      <c r="D12" s="12"/>
      <c r="E12" s="12" t="s">
        <v>21</v>
      </c>
      <c r="F12" s="12"/>
      <c r="G12" s="12" t="s">
        <v>22</v>
      </c>
      <c r="H12" s="12"/>
    </row>
    <row r="13" spans="1:8" ht="21.75" customHeight="1" x14ac:dyDescent="0.45">
      <c r="A13" s="11" t="s">
        <v>23</v>
      </c>
      <c r="B13" s="11"/>
      <c r="C13" s="11" t="s">
        <v>24</v>
      </c>
      <c r="D13" s="11"/>
      <c r="E13" s="11" t="s">
        <v>25</v>
      </c>
      <c r="F13" s="11"/>
      <c r="G13" s="11" t="s">
        <v>26</v>
      </c>
      <c r="H13" s="11"/>
    </row>
    <row r="18" spans="1:8" ht="18" customHeight="1" x14ac:dyDescent="0.45">
      <c r="A18" s="15" t="s">
        <v>27</v>
      </c>
      <c r="B18" s="16"/>
      <c r="C18" s="16"/>
      <c r="D18" s="16"/>
      <c r="E18" s="16"/>
      <c r="F18" s="16"/>
      <c r="G18" s="16"/>
      <c r="H18" s="16"/>
    </row>
    <row r="19" spans="1:8" ht="15" customHeight="1" x14ac:dyDescent="0.45">
      <c r="A19" s="17" t="s">
        <v>28</v>
      </c>
      <c r="B19" s="10" t="s">
        <v>29</v>
      </c>
      <c r="C19" s="10"/>
      <c r="D19" s="10"/>
      <c r="E19" s="10"/>
      <c r="F19" s="10"/>
      <c r="G19" s="10"/>
      <c r="H19" s="10"/>
    </row>
    <row r="20" spans="1:8" ht="15" customHeight="1" x14ac:dyDescent="0.45">
      <c r="A20" s="18" t="s">
        <v>30</v>
      </c>
      <c r="B20" s="10" t="s">
        <v>31</v>
      </c>
      <c r="C20" s="10"/>
      <c r="D20" s="10"/>
      <c r="E20" s="10"/>
      <c r="F20" s="10"/>
      <c r="G20" s="10"/>
      <c r="H20" s="10"/>
    </row>
    <row r="21" spans="1:8" ht="15" customHeight="1" x14ac:dyDescent="0.45">
      <c r="A21" s="18" t="s">
        <v>32</v>
      </c>
      <c r="B21" s="10" t="s">
        <v>33</v>
      </c>
      <c r="C21" s="10"/>
      <c r="D21" s="10"/>
      <c r="E21" s="10"/>
      <c r="F21" s="10"/>
      <c r="G21" s="10"/>
      <c r="H21" s="10"/>
    </row>
    <row r="22" spans="1:8" ht="15" customHeight="1" x14ac:dyDescent="0.45">
      <c r="A22" s="18" t="s">
        <v>34</v>
      </c>
      <c r="B22" s="10" t="s">
        <v>35</v>
      </c>
      <c r="C22" s="10"/>
      <c r="D22" s="10"/>
      <c r="E22" s="10"/>
      <c r="F22" s="10"/>
      <c r="G22" s="10"/>
      <c r="H22" s="10"/>
    </row>
    <row r="23" spans="1:8" ht="15" customHeight="1" x14ac:dyDescent="0.45">
      <c r="A23" s="18" t="s">
        <v>36</v>
      </c>
      <c r="B23" s="10" t="s">
        <v>37</v>
      </c>
      <c r="C23" s="10"/>
      <c r="D23" s="10"/>
      <c r="E23" s="10"/>
      <c r="F23" s="10"/>
      <c r="G23" s="10"/>
      <c r="H23" s="10"/>
    </row>
    <row r="24" spans="1:8" ht="15" customHeight="1" x14ac:dyDescent="0.45">
      <c r="A24" s="18" t="s">
        <v>38</v>
      </c>
      <c r="B24" s="10" t="s">
        <v>39</v>
      </c>
      <c r="C24" s="10"/>
      <c r="D24" s="10"/>
      <c r="E24" s="10"/>
      <c r="F24" s="10"/>
      <c r="G24" s="10"/>
      <c r="H24" s="10"/>
    </row>
    <row r="25" spans="1:8" ht="15" customHeight="1" x14ac:dyDescent="0.45">
      <c r="A25" s="18" t="s">
        <v>40</v>
      </c>
      <c r="B25" s="10" t="s">
        <v>41</v>
      </c>
      <c r="C25" s="10"/>
      <c r="D25" s="10"/>
      <c r="E25" s="10"/>
      <c r="F25" s="10"/>
      <c r="G25" s="10"/>
      <c r="H25" s="10"/>
    </row>
    <row r="26" spans="1:8" ht="15" customHeight="1" x14ac:dyDescent="0.45">
      <c r="A26" s="18" t="s">
        <v>42</v>
      </c>
      <c r="B26" s="10" t="s">
        <v>43</v>
      </c>
      <c r="C26" s="10"/>
      <c r="D26" s="10"/>
      <c r="E26" s="10"/>
      <c r="F26" s="10"/>
      <c r="G26" s="10"/>
      <c r="H26" s="10"/>
    </row>
    <row r="27" spans="1:8" ht="15" customHeight="1" x14ac:dyDescent="0.45">
      <c r="A27" s="18" t="s">
        <v>44</v>
      </c>
      <c r="B27" s="10" t="s">
        <v>45</v>
      </c>
      <c r="C27" s="10"/>
      <c r="D27" s="10"/>
      <c r="E27" s="10"/>
      <c r="F27" s="10"/>
      <c r="G27" s="10"/>
      <c r="H27" s="10"/>
    </row>
    <row r="28" spans="1:8" ht="15" customHeight="1" x14ac:dyDescent="0.45">
      <c r="A28" s="18" t="s">
        <v>46</v>
      </c>
      <c r="B28" s="10" t="s">
        <v>47</v>
      </c>
      <c r="C28" s="10"/>
      <c r="D28" s="10"/>
      <c r="E28" s="10"/>
      <c r="F28" s="10"/>
      <c r="G28" s="10"/>
      <c r="H28" s="10"/>
    </row>
    <row r="29" spans="1:8" ht="15" customHeight="1" x14ac:dyDescent="0.45">
      <c r="A29" s="18" t="s">
        <v>48</v>
      </c>
      <c r="B29" s="10" t="s">
        <v>49</v>
      </c>
      <c r="C29" s="10"/>
      <c r="D29" s="10"/>
      <c r="E29" s="10"/>
      <c r="F29" s="10"/>
      <c r="G29" s="10"/>
      <c r="H29" s="10"/>
    </row>
    <row r="30" spans="1:8" ht="15" customHeight="1" x14ac:dyDescent="0.45">
      <c r="A30" s="18" t="s">
        <v>50</v>
      </c>
      <c r="B30" s="10" t="s">
        <v>51</v>
      </c>
      <c r="C30" s="10"/>
      <c r="D30" s="10"/>
      <c r="E30" s="10"/>
      <c r="F30" s="10"/>
      <c r="G30" s="10"/>
      <c r="H30" s="10"/>
    </row>
    <row r="31" spans="1:8" ht="18" customHeight="1" x14ac:dyDescent="0.45">
      <c r="A31" s="18" t="s">
        <v>52</v>
      </c>
      <c r="B31" s="9" t="s">
        <v>53</v>
      </c>
      <c r="C31" s="9"/>
      <c r="D31" s="9"/>
      <c r="E31" s="9"/>
      <c r="F31" s="9"/>
      <c r="G31" s="9"/>
      <c r="H31" s="9"/>
    </row>
    <row r="32" spans="1:8" ht="15" customHeight="1" x14ac:dyDescent="0.45">
      <c r="A32" s="18" t="s">
        <v>54</v>
      </c>
      <c r="B32" s="10" t="s">
        <v>55</v>
      </c>
      <c r="C32" s="10"/>
      <c r="D32" s="10"/>
      <c r="E32" s="10"/>
      <c r="F32" s="10"/>
      <c r="G32" s="10"/>
      <c r="H32" s="10"/>
    </row>
    <row r="33" spans="1:8" ht="15" customHeight="1" x14ac:dyDescent="0.45">
      <c r="A33" s="18" t="s">
        <v>56</v>
      </c>
      <c r="B33" s="10" t="s">
        <v>57</v>
      </c>
      <c r="C33" s="10"/>
      <c r="D33" s="10"/>
      <c r="E33" s="10"/>
      <c r="F33" s="10"/>
      <c r="G33" s="10"/>
      <c r="H33" s="10"/>
    </row>
    <row r="34" spans="1:8" ht="15" customHeight="1" x14ac:dyDescent="0.45">
      <c r="A34" s="18" t="s">
        <v>58</v>
      </c>
      <c r="B34" s="10" t="s">
        <v>59</v>
      </c>
      <c r="C34" s="10"/>
      <c r="D34" s="10"/>
      <c r="E34" s="10"/>
      <c r="F34" s="10"/>
      <c r="G34" s="10"/>
      <c r="H34" s="10"/>
    </row>
    <row r="35" spans="1:8" ht="15" customHeight="1" x14ac:dyDescent="0.45">
      <c r="A35" s="19" t="s">
        <v>60</v>
      </c>
      <c r="B35" s="8" t="s">
        <v>61</v>
      </c>
      <c r="C35" s="8"/>
      <c r="D35" s="8"/>
      <c r="E35" s="8"/>
      <c r="F35" s="8"/>
      <c r="G35" s="8"/>
      <c r="H35" s="8"/>
    </row>
    <row r="36" spans="1:8" ht="15" customHeight="1" x14ac:dyDescent="0.45">
      <c r="A36" s="20" t="s">
        <v>62</v>
      </c>
      <c r="B36" s="8" t="s">
        <v>63</v>
      </c>
      <c r="C36" s="8"/>
      <c r="D36" s="8"/>
      <c r="E36" s="8"/>
      <c r="F36" s="8"/>
      <c r="G36" s="8"/>
      <c r="H36" s="8"/>
    </row>
    <row r="37" spans="1:8" ht="15" customHeight="1" x14ac:dyDescent="0.45">
      <c r="A37" s="21" t="s">
        <v>64</v>
      </c>
      <c r="B37" s="8" t="s">
        <v>65</v>
      </c>
      <c r="C37" s="8"/>
      <c r="D37" s="8"/>
      <c r="E37" s="8"/>
      <c r="F37" s="8"/>
      <c r="G37" s="8"/>
      <c r="H37" s="8"/>
    </row>
  </sheetData>
  <mergeCells count="45">
    <mergeCell ref="B35:H35"/>
    <mergeCell ref="B36:H36"/>
    <mergeCell ref="B37:H37"/>
    <mergeCell ref="B30:H30"/>
    <mergeCell ref="B31:H31"/>
    <mergeCell ref="B32:H32"/>
    <mergeCell ref="B33:H33"/>
    <mergeCell ref="B34:H34"/>
    <mergeCell ref="B25:H25"/>
    <mergeCell ref="B26:H26"/>
    <mergeCell ref="B27:H27"/>
    <mergeCell ref="B28:H28"/>
    <mergeCell ref="B29:H29"/>
    <mergeCell ref="B20:H20"/>
    <mergeCell ref="B21:H21"/>
    <mergeCell ref="B22:H22"/>
    <mergeCell ref="B23:H23"/>
    <mergeCell ref="B24:H24"/>
    <mergeCell ref="A13:B13"/>
    <mergeCell ref="C13:D13"/>
    <mergeCell ref="E13:F13"/>
    <mergeCell ref="G13:H13"/>
    <mergeCell ref="B19:H19"/>
    <mergeCell ref="A10:B10"/>
    <mergeCell ref="C10:D10"/>
    <mergeCell ref="E10:F10"/>
    <mergeCell ref="G10:H10"/>
    <mergeCell ref="A12:B12"/>
    <mergeCell ref="C12:D12"/>
    <mergeCell ref="E12:F12"/>
    <mergeCell ref="G12:H12"/>
    <mergeCell ref="A7:B7"/>
    <mergeCell ref="C7:D7"/>
    <mergeCell ref="E7:F7"/>
    <mergeCell ref="G7:H7"/>
    <mergeCell ref="A9:B9"/>
    <mergeCell ref="C9:D9"/>
    <mergeCell ref="E9:F9"/>
    <mergeCell ref="G9:H9"/>
    <mergeCell ref="A1:H1"/>
    <mergeCell ref="A2:H2"/>
    <mergeCell ref="A6:B6"/>
    <mergeCell ref="C6:D6"/>
    <mergeCell ref="E6:F6"/>
    <mergeCell ref="G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showGridLines="0" zoomScaleNormal="100" workbookViewId="0"/>
  </sheetViews>
  <sheetFormatPr defaultColWidth="8.6640625" defaultRowHeight="14.25" x14ac:dyDescent="0.45"/>
  <cols>
    <col min="1" max="1" width="32" customWidth="1"/>
    <col min="2" max="2" width="18" customWidth="1"/>
    <col min="3" max="3" width="14" customWidth="1"/>
    <col min="4" max="4" width="30" customWidth="1"/>
    <col min="5" max="5" width="18" customWidth="1"/>
    <col min="6" max="6" width="14" customWidth="1"/>
  </cols>
  <sheetData>
    <row r="1" spans="1:6" ht="27.75" customHeight="1" x14ac:dyDescent="0.45">
      <c r="A1" s="7" t="s">
        <v>66</v>
      </c>
      <c r="B1" s="7"/>
      <c r="C1" s="7"/>
      <c r="D1" s="7"/>
      <c r="E1" s="7"/>
      <c r="F1" s="7"/>
    </row>
    <row r="2" spans="1:6" ht="27.75" customHeight="1" x14ac:dyDescent="0.45">
      <c r="A2" s="6" t="s">
        <v>67</v>
      </c>
      <c r="B2" s="6"/>
      <c r="C2" s="6"/>
      <c r="D2" s="6"/>
      <c r="E2" s="6"/>
      <c r="F2" s="6"/>
    </row>
    <row r="4" spans="1:6" ht="18" customHeight="1" x14ac:dyDescent="0.45">
      <c r="A4" s="15" t="s">
        <v>68</v>
      </c>
      <c r="B4" s="16"/>
      <c r="C4" s="16"/>
    </row>
    <row r="5" spans="1:6" ht="15" customHeight="1" x14ac:dyDescent="0.45">
      <c r="A5" s="22" t="s">
        <v>69</v>
      </c>
      <c r="B5" s="23" t="s">
        <v>70</v>
      </c>
    </row>
    <row r="6" spans="1:6" ht="15" customHeight="1" x14ac:dyDescent="0.45">
      <c r="A6" s="22" t="s">
        <v>71</v>
      </c>
      <c r="B6" s="23" t="s">
        <v>72</v>
      </c>
    </row>
    <row r="7" spans="1:6" ht="15" customHeight="1" x14ac:dyDescent="0.45">
      <c r="A7" s="22" t="s">
        <v>73</v>
      </c>
      <c r="B7" s="24">
        <v>136</v>
      </c>
    </row>
    <row r="8" spans="1:6" ht="15" customHeight="1" x14ac:dyDescent="0.45">
      <c r="A8" s="22" t="s">
        <v>74</v>
      </c>
      <c r="B8" s="25">
        <v>99.58</v>
      </c>
    </row>
    <row r="9" spans="1:6" ht="15" customHeight="1" x14ac:dyDescent="0.45">
      <c r="A9" s="22" t="s">
        <v>4</v>
      </c>
      <c r="B9" s="24">
        <v>4337705</v>
      </c>
    </row>
    <row r="10" spans="1:6" ht="15" customHeight="1" x14ac:dyDescent="0.45">
      <c r="A10" s="22" t="s">
        <v>5</v>
      </c>
      <c r="B10" s="24">
        <v>30</v>
      </c>
    </row>
    <row r="12" spans="1:6" ht="18" customHeight="1" x14ac:dyDescent="0.45">
      <c r="A12" s="15" t="s">
        <v>75</v>
      </c>
      <c r="B12" s="16"/>
      <c r="C12" s="16"/>
      <c r="D12" s="16"/>
      <c r="E12" s="16"/>
      <c r="F12" s="16"/>
    </row>
    <row r="13" spans="1:6" ht="15" customHeight="1" x14ac:dyDescent="0.45">
      <c r="A13" s="26" t="s">
        <v>76</v>
      </c>
      <c r="B13" s="26" t="s">
        <v>77</v>
      </c>
      <c r="C13" s="26" t="s">
        <v>78</v>
      </c>
      <c r="D13" s="26" t="s">
        <v>79</v>
      </c>
      <c r="E13" s="26" t="s">
        <v>80</v>
      </c>
      <c r="F13" s="26" t="s">
        <v>81</v>
      </c>
    </row>
    <row r="14" spans="1:6" ht="15" customHeight="1" x14ac:dyDescent="0.45">
      <c r="A14" s="22" t="s">
        <v>82</v>
      </c>
      <c r="B14" s="24">
        <v>8</v>
      </c>
      <c r="C14" s="25">
        <v>27.6</v>
      </c>
      <c r="D14" s="27">
        <v>7.6529999999999996</v>
      </c>
      <c r="E14" s="28">
        <v>9190000</v>
      </c>
      <c r="F14" s="29">
        <f>E14/$E$17</f>
        <v>0.23330535784611883</v>
      </c>
    </row>
    <row r="15" spans="1:6" ht="15" customHeight="1" x14ac:dyDescent="0.45">
      <c r="A15" s="22" t="s">
        <v>83</v>
      </c>
      <c r="B15" s="24">
        <v>18</v>
      </c>
      <c r="C15" s="25">
        <v>23.5</v>
      </c>
      <c r="D15" s="27">
        <v>14.555999999999999</v>
      </c>
      <c r="E15" s="28">
        <v>14900000</v>
      </c>
      <c r="F15" s="29">
        <f>E15/$E$17</f>
        <v>0.37826439955464319</v>
      </c>
    </row>
    <row r="16" spans="1:6" ht="15" customHeight="1" x14ac:dyDescent="0.45">
      <c r="A16" s="22" t="s">
        <v>84</v>
      </c>
      <c r="B16" s="24">
        <v>4</v>
      </c>
      <c r="C16" s="25">
        <v>48.5</v>
      </c>
      <c r="D16" s="27">
        <v>7.242</v>
      </c>
      <c r="E16" s="28">
        <v>15300437</v>
      </c>
      <c r="F16" s="29">
        <f>E16/$E$17</f>
        <v>0.38843024259923797</v>
      </c>
    </row>
    <row r="17" spans="1:6" ht="15" customHeight="1" x14ac:dyDescent="0.45">
      <c r="A17" s="30" t="s">
        <v>85</v>
      </c>
      <c r="B17" s="31">
        <f>SUM(B14:B16)</f>
        <v>30</v>
      </c>
      <c r="C17" s="32">
        <f>SUM(C14:C16)</f>
        <v>99.6</v>
      </c>
      <c r="E17" s="30">
        <f>SUM(E14:E16)</f>
        <v>39390437</v>
      </c>
      <c r="F17" s="33">
        <f>1</f>
        <v>1</v>
      </c>
    </row>
    <row r="19" spans="1:6" ht="18" customHeight="1" x14ac:dyDescent="0.45">
      <c r="A19" s="15" t="s">
        <v>86</v>
      </c>
      <c r="B19" s="16"/>
      <c r="C19" s="16"/>
    </row>
    <row r="20" spans="1:6" ht="15" customHeight="1" x14ac:dyDescent="0.45">
      <c r="A20" s="22" t="s">
        <v>87</v>
      </c>
      <c r="B20" s="23" t="s">
        <v>88</v>
      </c>
    </row>
    <row r="21" spans="1:6" ht="15" customHeight="1" x14ac:dyDescent="0.45">
      <c r="A21" s="22" t="s">
        <v>89</v>
      </c>
      <c r="B21" s="23" t="s">
        <v>90</v>
      </c>
    </row>
    <row r="22" spans="1:6" ht="15" customHeight="1" x14ac:dyDescent="0.45">
      <c r="A22" s="22" t="s">
        <v>91</v>
      </c>
      <c r="B22" s="24">
        <v>50</v>
      </c>
    </row>
    <row r="23" spans="1:6" ht="15" customHeight="1" x14ac:dyDescent="0.45">
      <c r="A23" s="22" t="s">
        <v>92</v>
      </c>
      <c r="B23" s="24">
        <v>5</v>
      </c>
    </row>
    <row r="24" spans="1:6" ht="15" customHeight="1" x14ac:dyDescent="0.45">
      <c r="A24" s="22" t="s">
        <v>93</v>
      </c>
      <c r="B24" s="24">
        <v>22</v>
      </c>
    </row>
    <row r="25" spans="1:6" ht="15" customHeight="1" x14ac:dyDescent="0.45">
      <c r="A25" s="22" t="s">
        <v>94</v>
      </c>
      <c r="B25" s="24">
        <v>15</v>
      </c>
    </row>
    <row r="26" spans="1:6" ht="15" customHeight="1" x14ac:dyDescent="0.45">
      <c r="A26" s="22" t="s">
        <v>95</v>
      </c>
      <c r="B26" s="24">
        <v>21</v>
      </c>
    </row>
    <row r="28" spans="1:6" ht="18" customHeight="1" x14ac:dyDescent="0.45">
      <c r="A28" s="15" t="s">
        <v>96</v>
      </c>
      <c r="B28" s="16"/>
      <c r="C28" s="16"/>
    </row>
    <row r="29" spans="1:6" ht="15" customHeight="1" x14ac:dyDescent="0.45">
      <c r="A29" s="22" t="s">
        <v>97</v>
      </c>
      <c r="B29" s="28">
        <v>1993000</v>
      </c>
      <c r="C29" s="29">
        <f>B29/B35</f>
        <v>8.4489607311975648E-2</v>
      </c>
    </row>
    <row r="30" spans="1:6" ht="15" customHeight="1" x14ac:dyDescent="0.45">
      <c r="A30" s="22" t="s">
        <v>98</v>
      </c>
      <c r="B30" s="28">
        <v>3432000</v>
      </c>
      <c r="C30" s="29">
        <f>B30/B35</f>
        <v>0.14549339302293046</v>
      </c>
    </row>
    <row r="31" spans="1:6" ht="15" customHeight="1" x14ac:dyDescent="0.45">
      <c r="A31" s="22" t="s">
        <v>99</v>
      </c>
      <c r="B31" s="28">
        <v>12527000</v>
      </c>
      <c r="C31" s="29">
        <f>B31/B35</f>
        <v>0.5310593631696533</v>
      </c>
    </row>
    <row r="32" spans="1:6" ht="15" customHeight="1" x14ac:dyDescent="0.45">
      <c r="A32" s="22" t="s">
        <v>100</v>
      </c>
      <c r="B32" s="28">
        <v>5098000</v>
      </c>
      <c r="C32" s="29">
        <f>B32/B35</f>
        <v>0.21612043054513391</v>
      </c>
    </row>
    <row r="33" spans="1:3" ht="15" customHeight="1" x14ac:dyDescent="0.45">
      <c r="A33" s="22" t="s">
        <v>101</v>
      </c>
      <c r="B33" s="28">
        <v>262000</v>
      </c>
      <c r="C33" s="29">
        <f>B33/B35</f>
        <v>1.1107013103731871E-2</v>
      </c>
    </row>
    <row r="34" spans="1:3" ht="15" customHeight="1" x14ac:dyDescent="0.45">
      <c r="A34" s="22" t="s">
        <v>102</v>
      </c>
      <c r="B34" s="28">
        <v>276700</v>
      </c>
      <c r="C34" s="29">
        <f>B34/B35</f>
        <v>1.1730192846574844E-2</v>
      </c>
    </row>
    <row r="35" spans="1:3" ht="15" customHeight="1" x14ac:dyDescent="0.45">
      <c r="A35" s="30" t="s">
        <v>103</v>
      </c>
      <c r="B35" s="30">
        <f>SUM(B29:B34)</f>
        <v>23588700</v>
      </c>
    </row>
    <row r="37" spans="1:3" ht="18" customHeight="1" x14ac:dyDescent="0.45">
      <c r="A37" s="15" t="s">
        <v>104</v>
      </c>
      <c r="B37" s="16"/>
      <c r="C37" s="16"/>
    </row>
    <row r="38" spans="1:3" ht="15" customHeight="1" x14ac:dyDescent="0.45">
      <c r="A38" s="22" t="s">
        <v>105</v>
      </c>
      <c r="B38" s="28">
        <v>1320000</v>
      </c>
    </row>
    <row r="39" spans="1:3" ht="15" customHeight="1" x14ac:dyDescent="0.45">
      <c r="A39" s="22" t="s">
        <v>106</v>
      </c>
      <c r="B39" s="28">
        <v>83000</v>
      </c>
    </row>
    <row r="40" spans="1:3" ht="15" customHeight="1" x14ac:dyDescent="0.45">
      <c r="A40" s="30" t="s">
        <v>107</v>
      </c>
      <c r="B40" s="30">
        <f>SUM(B38:B39)</f>
        <v>1403000</v>
      </c>
    </row>
    <row r="42" spans="1:3" ht="18" customHeight="1" x14ac:dyDescent="0.45">
      <c r="A42" s="15" t="s">
        <v>108</v>
      </c>
      <c r="B42" s="16"/>
      <c r="C42" s="16"/>
    </row>
    <row r="43" spans="1:3" ht="15" customHeight="1" x14ac:dyDescent="0.45">
      <c r="A43" s="22" t="s">
        <v>109</v>
      </c>
      <c r="B43" s="28">
        <v>23400000</v>
      </c>
    </row>
    <row r="44" spans="1:3" ht="15" customHeight="1" x14ac:dyDescent="0.45">
      <c r="A44" s="22" t="s">
        <v>110</v>
      </c>
      <c r="B44" s="28">
        <v>240000</v>
      </c>
    </row>
    <row r="45" spans="1:3" ht="15" customHeight="1" x14ac:dyDescent="0.45">
      <c r="A45" s="22" t="s">
        <v>111</v>
      </c>
      <c r="B45" s="28">
        <v>150000</v>
      </c>
    </row>
    <row r="47" spans="1:3" ht="18" customHeight="1" x14ac:dyDescent="0.45">
      <c r="A47" s="15" t="s">
        <v>112</v>
      </c>
      <c r="B47" s="16"/>
      <c r="C47" s="16"/>
    </row>
    <row r="48" spans="1:3" ht="15" customHeight="1" x14ac:dyDescent="0.45">
      <c r="A48" s="22" t="s">
        <v>113</v>
      </c>
      <c r="B48" s="34">
        <v>0.11</v>
      </c>
    </row>
    <row r="49" spans="1:3" ht="15" customHeight="1" x14ac:dyDescent="0.45">
      <c r="A49" s="22" t="s">
        <v>114</v>
      </c>
      <c r="B49" s="28">
        <v>6700</v>
      </c>
    </row>
    <row r="50" spans="1:3" ht="15" customHeight="1" x14ac:dyDescent="0.45">
      <c r="A50" s="22" t="s">
        <v>115</v>
      </c>
      <c r="B50" s="28">
        <v>6700</v>
      </c>
    </row>
    <row r="51" spans="1:3" ht="15" customHeight="1" x14ac:dyDescent="0.45">
      <c r="A51" s="22" t="s">
        <v>116</v>
      </c>
      <c r="B51" s="28">
        <v>1178</v>
      </c>
    </row>
    <row r="52" spans="1:3" ht="15" customHeight="1" x14ac:dyDescent="0.45">
      <c r="A52" s="22" t="s">
        <v>22</v>
      </c>
      <c r="B52" s="28">
        <v>671535</v>
      </c>
    </row>
    <row r="53" spans="1:3" ht="15" customHeight="1" x14ac:dyDescent="0.45">
      <c r="A53" s="22" t="s">
        <v>117</v>
      </c>
      <c r="B53" s="28">
        <v>25800</v>
      </c>
    </row>
    <row r="55" spans="1:3" ht="18" customHeight="1" x14ac:dyDescent="0.45">
      <c r="A55" s="15" t="s">
        <v>118</v>
      </c>
      <c r="B55" s="16"/>
      <c r="C55" s="16"/>
    </row>
    <row r="56" spans="1:3" ht="15" customHeight="1" x14ac:dyDescent="0.45">
      <c r="A56" s="22" t="s">
        <v>119</v>
      </c>
      <c r="B56" s="28">
        <v>11387289</v>
      </c>
    </row>
    <row r="57" spans="1:3" ht="15" customHeight="1" x14ac:dyDescent="0.45">
      <c r="A57" s="22" t="s">
        <v>120</v>
      </c>
      <c r="B57" s="34">
        <v>0.08</v>
      </c>
    </row>
    <row r="58" spans="1:3" ht="15" customHeight="1" x14ac:dyDescent="0.45">
      <c r="A58" s="22" t="s">
        <v>121</v>
      </c>
      <c r="B58" s="34">
        <v>0.5</v>
      </c>
    </row>
    <row r="59" spans="1:3" ht="15" customHeight="1" x14ac:dyDescent="0.45">
      <c r="A59" s="22" t="s">
        <v>122</v>
      </c>
      <c r="B59" s="34">
        <v>0.5</v>
      </c>
    </row>
    <row r="60" spans="1:3" ht="15" customHeight="1" x14ac:dyDescent="0.45">
      <c r="A60" s="22" t="s">
        <v>123</v>
      </c>
      <c r="B60" s="34">
        <v>0.04</v>
      </c>
    </row>
    <row r="61" spans="1:3" ht="15" customHeight="1" x14ac:dyDescent="0.45">
      <c r="A61" s="22" t="s">
        <v>124</v>
      </c>
      <c r="B61" s="34">
        <v>0.05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showGridLines="0" zoomScaleNormal="100" workbookViewId="0"/>
  </sheetViews>
  <sheetFormatPr defaultColWidth="8.6640625" defaultRowHeight="14.25" x14ac:dyDescent="0.45"/>
  <cols>
    <col min="1" max="1" width="38" customWidth="1"/>
    <col min="2" max="2" width="16" customWidth="1"/>
    <col min="3" max="4" width="12" customWidth="1"/>
    <col min="5" max="7" width="10" customWidth="1"/>
    <col min="8" max="8" width="22" customWidth="1"/>
  </cols>
  <sheetData>
    <row r="1" spans="1:8" ht="30" customHeight="1" x14ac:dyDescent="0.45">
      <c r="A1" s="5" t="s">
        <v>125</v>
      </c>
      <c r="B1" s="5"/>
      <c r="C1" s="5"/>
      <c r="D1" s="5"/>
      <c r="E1" s="5"/>
      <c r="F1" s="5"/>
      <c r="G1" s="5"/>
      <c r="H1" s="5"/>
    </row>
    <row r="2" spans="1:8" ht="15.75" customHeight="1" x14ac:dyDescent="0.45">
      <c r="A2" s="4" t="s">
        <v>126</v>
      </c>
      <c r="B2" s="4"/>
      <c r="C2" s="4"/>
      <c r="D2" s="4"/>
      <c r="E2" s="4"/>
      <c r="F2" s="4"/>
      <c r="G2" s="4"/>
      <c r="H2" s="4"/>
    </row>
    <row r="4" spans="1:8" ht="18" customHeight="1" x14ac:dyDescent="0.45">
      <c r="A4" s="3" t="s">
        <v>127</v>
      </c>
      <c r="B4" s="3"/>
      <c r="C4" s="3"/>
      <c r="D4" s="3"/>
      <c r="E4" s="3"/>
      <c r="F4" s="3"/>
      <c r="G4" s="3"/>
      <c r="H4" s="3"/>
    </row>
    <row r="5" spans="1:8" ht="15.75" customHeight="1" x14ac:dyDescent="0.45">
      <c r="A5" s="26" t="s">
        <v>128</v>
      </c>
      <c r="B5" s="26" t="s">
        <v>129</v>
      </c>
      <c r="C5" s="26" t="s">
        <v>130</v>
      </c>
      <c r="D5" s="26" t="s">
        <v>131</v>
      </c>
      <c r="E5" s="26" t="s">
        <v>132</v>
      </c>
      <c r="F5" s="26" t="s">
        <v>133</v>
      </c>
      <c r="G5" s="26" t="s">
        <v>134</v>
      </c>
      <c r="H5" s="26" t="s">
        <v>135</v>
      </c>
    </row>
    <row r="6" spans="1:8" ht="18" customHeight="1" x14ac:dyDescent="0.45">
      <c r="A6" s="2" t="s">
        <v>136</v>
      </c>
      <c r="B6" s="2"/>
      <c r="C6" s="2"/>
      <c r="D6" s="2"/>
      <c r="E6" s="2"/>
      <c r="F6" s="2"/>
      <c r="G6" s="2"/>
      <c r="H6" s="2"/>
    </row>
    <row r="7" spans="1:8" ht="15.75" customHeight="1" x14ac:dyDescent="0.45">
      <c r="A7" s="36" t="s">
        <v>137</v>
      </c>
      <c r="B7" s="37">
        <f>Assumptions!B56</f>
        <v>11387289</v>
      </c>
      <c r="C7" s="38">
        <f>IF(Assumptions!B10&gt;0,B7/Assumptions!B10,0)</f>
        <v>379576.3</v>
      </c>
      <c r="D7" s="39">
        <f>IF(Assumptions!B9&gt;0,B7/Assumptions!B9,0)</f>
        <v>2.6251875127515589</v>
      </c>
      <c r="E7" s="29">
        <f>IF(B49&gt;0,B7/B49,0)</f>
        <v>0.28730699360178846</v>
      </c>
      <c r="H7" s="40" t="s">
        <v>138</v>
      </c>
    </row>
    <row r="8" spans="1:8" ht="15.75" customHeight="1" x14ac:dyDescent="0.45">
      <c r="A8" s="36" t="s">
        <v>139</v>
      </c>
      <c r="B8" s="28">
        <v>0</v>
      </c>
      <c r="C8" s="38">
        <f>IF(Assumptions!B10&gt;0,B8/Assumptions!B10,0)</f>
        <v>0</v>
      </c>
      <c r="D8" s="39">
        <f>IF(Assumptions!B9&gt;0,B8/Assumptions!B9,0)</f>
        <v>0</v>
      </c>
      <c r="E8" s="29">
        <f>IF(B49&gt;0,B8/B49,0)</f>
        <v>0</v>
      </c>
      <c r="H8" s="40" t="s">
        <v>140</v>
      </c>
    </row>
    <row r="9" spans="1:8" ht="15.75" customHeight="1" x14ac:dyDescent="0.45">
      <c r="A9" s="36" t="s">
        <v>141</v>
      </c>
      <c r="B9" s="28">
        <v>0</v>
      </c>
      <c r="C9" s="38">
        <f>IF(Assumptions!B10&gt;0,B9/Assumptions!B10,0)</f>
        <v>0</v>
      </c>
      <c r="D9" s="39">
        <f>IF(Assumptions!B9&gt;0,B9/Assumptions!B9,0)</f>
        <v>0</v>
      </c>
      <c r="E9" s="29">
        <f>IF(B49&gt;0,B9/B49,0)</f>
        <v>0</v>
      </c>
      <c r="H9" s="40" t="s">
        <v>142</v>
      </c>
    </row>
    <row r="10" spans="1:8" ht="15.75" customHeight="1" x14ac:dyDescent="0.45">
      <c r="A10" s="36" t="s">
        <v>143</v>
      </c>
      <c r="B10" s="28">
        <v>0</v>
      </c>
      <c r="C10" s="38">
        <f>IF(Assumptions!B10&gt;0,B10/Assumptions!B10,0)</f>
        <v>0</v>
      </c>
      <c r="D10" s="39">
        <f>IF(Assumptions!B9&gt;0,B10/Assumptions!B9,0)</f>
        <v>0</v>
      </c>
      <c r="E10" s="29">
        <f>IF(B49&gt;0,B10/B49,0)</f>
        <v>0</v>
      </c>
      <c r="H10" s="40"/>
    </row>
    <row r="11" spans="1:8" ht="15.75" customHeight="1" x14ac:dyDescent="0.45">
      <c r="A11" s="30" t="s">
        <v>144</v>
      </c>
      <c r="B11" s="30">
        <f>SUM(B7:B10)</f>
        <v>11387289</v>
      </c>
      <c r="C11" s="38">
        <f>IF(Assumptions!B10&gt;0,B11/Assumptions!B10,0)</f>
        <v>379576.3</v>
      </c>
      <c r="D11" s="39">
        <f>IF(Assumptions!B9&gt;0,B11/Assumptions!B9,0)</f>
        <v>2.6251875127515589</v>
      </c>
      <c r="E11" s="29">
        <f>IF(B49&gt;0,B11/B49,0)</f>
        <v>0.28730699360178846</v>
      </c>
    </row>
    <row r="13" spans="1:8" ht="18" customHeight="1" x14ac:dyDescent="0.45">
      <c r="A13" s="2" t="s">
        <v>145</v>
      </c>
      <c r="B13" s="2"/>
      <c r="C13" s="2"/>
      <c r="D13" s="2"/>
      <c r="E13" s="2"/>
      <c r="F13" s="2"/>
      <c r="G13" s="2"/>
      <c r="H13" s="2"/>
    </row>
    <row r="14" spans="1:8" ht="15.75" customHeight="1" x14ac:dyDescent="0.45">
      <c r="A14" s="36" t="s">
        <v>97</v>
      </c>
      <c r="B14" s="37">
        <f>Assumptions!B29</f>
        <v>1993000</v>
      </c>
      <c r="C14" s="38">
        <f>IF(Assumptions!B10&gt;0,B14/Assumptions!B10,0)</f>
        <v>66433.333333333328</v>
      </c>
      <c r="D14" s="39">
        <f>IF(Assumptions!B9&gt;0,B14/Assumptions!B9,0)</f>
        <v>0.45945955292026541</v>
      </c>
      <c r="E14" s="29">
        <f>IF(B49&gt;0,B14/B49,0)</f>
        <v>5.0284386235245671E-2</v>
      </c>
      <c r="F14" s="29">
        <f>IF(Assumptions!B35&gt;0,B14/Assumptions!B35,0)</f>
        <v>8.4489607311975648E-2</v>
      </c>
      <c r="H14" s="40" t="s">
        <v>146</v>
      </c>
    </row>
    <row r="15" spans="1:8" ht="15.75" customHeight="1" x14ac:dyDescent="0.45">
      <c r="A15" s="36" t="s">
        <v>98</v>
      </c>
      <c r="B15" s="37">
        <f>Assumptions!B30</f>
        <v>3432000</v>
      </c>
      <c r="C15" s="38">
        <f>IF(Assumptions!B10&gt;0,B15/Assumptions!B10,0)</f>
        <v>114400</v>
      </c>
      <c r="D15" s="39">
        <f>IF(Assumptions!B9&gt;0,B15/Assumptions!B9,0)</f>
        <v>0.79120179910805366</v>
      </c>
      <c r="E15" s="29">
        <f>IF(B49&gt;0,B15/B49,0)</f>
        <v>8.6591075544085877E-2</v>
      </c>
      <c r="F15" s="29">
        <f>IF(Assumptions!B35&gt;0,B15/Assumptions!B35,0)</f>
        <v>0.14549339302293046</v>
      </c>
      <c r="H15" s="40" t="s">
        <v>147</v>
      </c>
    </row>
    <row r="16" spans="1:8" ht="15.75" customHeight="1" x14ac:dyDescent="0.45">
      <c r="A16" s="36" t="s">
        <v>148</v>
      </c>
      <c r="B16" s="37">
        <f>Assumptions!B31</f>
        <v>12527000</v>
      </c>
      <c r="C16" s="38">
        <f>IF(Assumptions!B10&gt;0,B16/Assumptions!B10,0)</f>
        <v>417566.66666666669</v>
      </c>
      <c r="D16" s="39">
        <f>IF(Assumptions!B9&gt;0,B16/Assumptions!B9,0)</f>
        <v>2.8879326740753464</v>
      </c>
      <c r="E16" s="29">
        <f>IF(B49&gt;0,B16/B49,0)</f>
        <v>0.31606247183588687</v>
      </c>
      <c r="F16" s="29">
        <f>IF(Assumptions!B35&gt;0,B16/Assumptions!B35,0)</f>
        <v>0.5310593631696533</v>
      </c>
      <c r="H16" s="40" t="s">
        <v>149</v>
      </c>
    </row>
    <row r="17" spans="1:8" ht="15.75" customHeight="1" x14ac:dyDescent="0.45">
      <c r="A17" s="36" t="s">
        <v>150</v>
      </c>
      <c r="B17" s="37">
        <f>Assumptions!B32</f>
        <v>5098000</v>
      </c>
      <c r="C17" s="38">
        <f>IF(Assumptions!B10&gt;0,B17/Assumptions!B10,0)</f>
        <v>169933.33333333334</v>
      </c>
      <c r="D17" s="39">
        <f>IF(Assumptions!B9&gt;0,B17/Assumptions!B9,0)</f>
        <v>1.1752758659244924</v>
      </c>
      <c r="E17" s="29">
        <f>IF(B49&gt;0,B17/B49,0)</f>
        <v>0.12862508832277092</v>
      </c>
      <c r="F17" s="29">
        <f>IF(Assumptions!B35&gt;0,B17/Assumptions!B35,0)</f>
        <v>0.21612043054513391</v>
      </c>
      <c r="H17" s="40" t="s">
        <v>151</v>
      </c>
    </row>
    <row r="18" spans="1:8" ht="15.75" customHeight="1" x14ac:dyDescent="0.45">
      <c r="A18" s="36" t="s">
        <v>152</v>
      </c>
      <c r="B18" s="37">
        <f>Assumptions!B33</f>
        <v>262000</v>
      </c>
      <c r="C18" s="38">
        <f>IF(Assumptions!B10&gt;0,B18/Assumptions!B10,0)</f>
        <v>8733.3333333333339</v>
      </c>
      <c r="D18" s="39">
        <f>IF(Assumptions!B9&gt;0,B18/Assumptions!B9,0)</f>
        <v>6.0400603544962142E-2</v>
      </c>
      <c r="E18" s="29">
        <f>IF(B49&gt;0,B18/B49,0)</f>
        <v>6.610390965195367E-3</v>
      </c>
      <c r="F18" s="29">
        <f>IF(Assumptions!B35&gt;0,B18/Assumptions!B35,0)</f>
        <v>1.1107013103731871E-2</v>
      </c>
      <c r="H18" s="40" t="s">
        <v>153</v>
      </c>
    </row>
    <row r="19" spans="1:8" ht="15.75" customHeight="1" x14ac:dyDescent="0.45">
      <c r="A19" s="36" t="s">
        <v>102</v>
      </c>
      <c r="B19" s="37">
        <f>Assumptions!B34</f>
        <v>276700</v>
      </c>
      <c r="C19" s="38">
        <f>IF(Assumptions!B10&gt;0,B19/Assumptions!B10,0)</f>
        <v>9223.3333333333339</v>
      </c>
      <c r="D19" s="39">
        <f>IF(Assumptions!B9&gt;0,B19/Assumptions!B9,0)</f>
        <v>6.3789492369813072E-2</v>
      </c>
      <c r="E19" s="29">
        <f>IF(B49&gt;0,B19/B49,0)</f>
        <v>6.9812793132425872E-3</v>
      </c>
      <c r="F19" s="29">
        <f>IF(Assumptions!B35&gt;0,B19/Assumptions!B35,0)</f>
        <v>1.1730192846574844E-2</v>
      </c>
      <c r="H19" s="40" t="s">
        <v>154</v>
      </c>
    </row>
    <row r="20" spans="1:8" ht="15.75" customHeight="1" x14ac:dyDescent="0.45">
      <c r="A20" s="30" t="s">
        <v>155</v>
      </c>
      <c r="B20" s="30">
        <f>Assumptions!B35</f>
        <v>23588700</v>
      </c>
      <c r="C20" s="38">
        <f>IF(Assumptions!B10&gt;0,B20/Assumptions!B10,0)</f>
        <v>786290</v>
      </c>
      <c r="D20" s="39">
        <f>IF(Assumptions!B9&gt;0,B20/Assumptions!B9,0)</f>
        <v>5.4380599879429328</v>
      </c>
      <c r="E20" s="29">
        <f>IF(B49&gt;0,B20/B49,0)</f>
        <v>0.59515469221642725</v>
      </c>
      <c r="F20" s="29">
        <f>1</f>
        <v>1</v>
      </c>
    </row>
    <row r="22" spans="1:8" ht="18" customHeight="1" x14ac:dyDescent="0.45">
      <c r="A22" s="2" t="s">
        <v>156</v>
      </c>
      <c r="B22" s="2"/>
      <c r="C22" s="2"/>
      <c r="D22" s="2"/>
      <c r="E22" s="2"/>
      <c r="F22" s="2"/>
      <c r="G22" s="2"/>
      <c r="H22" s="2"/>
    </row>
    <row r="23" spans="1:8" ht="15.75" customHeight="1" x14ac:dyDescent="0.45">
      <c r="A23" s="36" t="s">
        <v>157</v>
      </c>
      <c r="B23" s="37">
        <f>Assumptions!B38</f>
        <v>1320000</v>
      </c>
      <c r="C23" s="38">
        <f>IF(Assumptions!B10&gt;0,B23/Assumptions!B10,0)</f>
        <v>44000</v>
      </c>
      <c r="D23" s="39">
        <f>IF(Assumptions!B9&gt;0,B23/Assumptions!B9,0)</f>
        <v>0.30430838427232831</v>
      </c>
      <c r="E23" s="29">
        <f>IF(B49&gt;0,B23/B49,0)</f>
        <v>3.3304259824648415E-2</v>
      </c>
      <c r="H23" s="40" t="s">
        <v>158</v>
      </c>
    </row>
    <row r="24" spans="1:8" ht="15.75" customHeight="1" x14ac:dyDescent="0.45">
      <c r="A24" s="36" t="s">
        <v>106</v>
      </c>
      <c r="B24" s="37">
        <f>Assumptions!B39</f>
        <v>83000</v>
      </c>
      <c r="C24" s="38">
        <f>IF(Assumptions!B10&gt;0,B24/Assumptions!B10,0)</f>
        <v>2766.6666666666665</v>
      </c>
      <c r="D24" s="39">
        <f>IF(Assumptions!B9&gt;0,B24/Assumptions!B9,0)</f>
        <v>1.9134542344396405E-2</v>
      </c>
      <c r="E24" s="29">
        <f>IF(B49&gt;0,B24/B49,0)</f>
        <v>2.0941314889741046E-3</v>
      </c>
      <c r="H24" s="40" t="s">
        <v>159</v>
      </c>
    </row>
    <row r="25" spans="1:8" ht="15.75" customHeight="1" x14ac:dyDescent="0.45">
      <c r="A25" s="36" t="s">
        <v>160</v>
      </c>
      <c r="B25" s="28">
        <v>0</v>
      </c>
      <c r="C25" s="38">
        <f>IF(Assumptions!B10&gt;0,B25/Assumptions!B10,0)</f>
        <v>0</v>
      </c>
      <c r="D25" s="39">
        <f>IF(Assumptions!B9&gt;0,B25/Assumptions!B9,0)</f>
        <v>0</v>
      </c>
      <c r="E25" s="29">
        <f>IF(B49&gt;0,B25/B49,0)</f>
        <v>0</v>
      </c>
      <c r="H25" s="40" t="s">
        <v>161</v>
      </c>
    </row>
    <row r="26" spans="1:8" ht="15.75" customHeight="1" x14ac:dyDescent="0.45">
      <c r="A26" s="36" t="s">
        <v>162</v>
      </c>
      <c r="B26" s="28">
        <v>0</v>
      </c>
      <c r="C26" s="38">
        <f>IF(Assumptions!B10&gt;0,B26/Assumptions!B10,0)</f>
        <v>0</v>
      </c>
      <c r="D26" s="39">
        <f>IF(Assumptions!B9&gt;0,B26/Assumptions!B9,0)</f>
        <v>0</v>
      </c>
      <c r="E26" s="29">
        <f>IF(B49&gt;0,B26/B49,0)</f>
        <v>0</v>
      </c>
      <c r="H26" s="40" t="s">
        <v>163</v>
      </c>
    </row>
    <row r="27" spans="1:8" ht="15.75" customHeight="1" x14ac:dyDescent="0.45">
      <c r="A27" s="36" t="s">
        <v>164</v>
      </c>
      <c r="B27" s="28">
        <v>0</v>
      </c>
      <c r="C27" s="38">
        <f>IF(Assumptions!B10&gt;0,B27/Assumptions!B10,0)</f>
        <v>0</v>
      </c>
      <c r="D27" s="39">
        <f>IF(Assumptions!B9&gt;0,B27/Assumptions!B9,0)</f>
        <v>0</v>
      </c>
      <c r="E27" s="29">
        <f>IF(B49&gt;0,B27/B49,0)</f>
        <v>0</v>
      </c>
      <c r="H27" s="40"/>
    </row>
    <row r="28" spans="1:8" ht="15.75" customHeight="1" x14ac:dyDescent="0.45">
      <c r="A28" s="30" t="s">
        <v>165</v>
      </c>
      <c r="B28" s="30">
        <f>SUM(B23:B27)</f>
        <v>1403000</v>
      </c>
      <c r="C28" s="38">
        <f>IF(Assumptions!B10&gt;0,B28/Assumptions!B10,0)</f>
        <v>46766.666666666664</v>
      </c>
      <c r="D28" s="39">
        <f>IF(Assumptions!B9&gt;0,B28/Assumptions!B9,0)</f>
        <v>0.32344292661672475</v>
      </c>
      <c r="E28" s="29">
        <f>IF(B49&gt;0,B28/B49,0)</f>
        <v>3.5398391313622518E-2</v>
      </c>
    </row>
    <row r="30" spans="1:8" ht="18" customHeight="1" x14ac:dyDescent="0.45">
      <c r="A30" s="2" t="s">
        <v>166</v>
      </c>
      <c r="B30" s="2"/>
      <c r="C30" s="2"/>
      <c r="D30" s="2"/>
      <c r="E30" s="2"/>
      <c r="F30" s="2"/>
      <c r="G30" s="2"/>
      <c r="H30" s="2"/>
    </row>
    <row r="31" spans="1:8" ht="15.75" customHeight="1" x14ac:dyDescent="0.45">
      <c r="A31" s="36" t="s">
        <v>167</v>
      </c>
      <c r="B31" s="28">
        <v>0</v>
      </c>
      <c r="C31" s="38">
        <f>IF(Assumptions!B10&gt;0,B31/Assumptions!B10,0)</f>
        <v>0</v>
      </c>
      <c r="D31" s="39">
        <f>IF(Assumptions!B9&gt;0,B31/Assumptions!B9,0)</f>
        <v>0</v>
      </c>
      <c r="E31" s="29">
        <f>IF(B49&gt;0,B31/B49,0)</f>
        <v>0</v>
      </c>
      <c r="H31" s="40" t="s">
        <v>168</v>
      </c>
    </row>
    <row r="32" spans="1:8" ht="15.75" customHeight="1" x14ac:dyDescent="0.45">
      <c r="A32" s="36" t="s">
        <v>169</v>
      </c>
      <c r="B32" s="28">
        <v>0</v>
      </c>
      <c r="C32" s="38">
        <f>IF(Assumptions!B10&gt;0,B32/Assumptions!B10,0)</f>
        <v>0</v>
      </c>
      <c r="D32" s="39">
        <f>IF(Assumptions!B9&gt;0,B32/Assumptions!B9,0)</f>
        <v>0</v>
      </c>
      <c r="E32" s="29">
        <f>IF(B49&gt;0,B32/B49,0)</f>
        <v>0</v>
      </c>
      <c r="H32" s="40" t="s">
        <v>170</v>
      </c>
    </row>
    <row r="33" spans="1:8" ht="15.75" customHeight="1" x14ac:dyDescent="0.45">
      <c r="A33" s="36" t="s">
        <v>171</v>
      </c>
      <c r="B33" s="28">
        <v>0</v>
      </c>
      <c r="C33" s="38">
        <f>IF(Assumptions!B10&gt;0,B33/Assumptions!B10,0)</f>
        <v>0</v>
      </c>
      <c r="D33" s="39">
        <f>IF(Assumptions!B9&gt;0,B33/Assumptions!B9,0)</f>
        <v>0</v>
      </c>
      <c r="E33" s="29">
        <f>IF(B49&gt;0,B33/B49,0)</f>
        <v>0</v>
      </c>
      <c r="H33" s="40" t="s">
        <v>172</v>
      </c>
    </row>
    <row r="34" spans="1:8" ht="15.75" customHeight="1" x14ac:dyDescent="0.45">
      <c r="A34" s="36" t="s">
        <v>173</v>
      </c>
      <c r="B34" s="28">
        <v>0</v>
      </c>
      <c r="C34" s="38">
        <f>IF(Assumptions!B10&gt;0,B34/Assumptions!B10,0)</f>
        <v>0</v>
      </c>
      <c r="D34" s="39">
        <f>IF(Assumptions!B9&gt;0,B34/Assumptions!B9,0)</f>
        <v>0</v>
      </c>
      <c r="E34" s="29">
        <f>IF(B49&gt;0,B34/B49,0)</f>
        <v>0</v>
      </c>
      <c r="H34" s="40"/>
    </row>
    <row r="35" spans="1:8" ht="15.75" customHeight="1" x14ac:dyDescent="0.45">
      <c r="A35" s="36" t="s">
        <v>174</v>
      </c>
      <c r="B35" s="28">
        <v>0</v>
      </c>
      <c r="C35" s="38">
        <f>IF(Assumptions!B10&gt;0,B35/Assumptions!B10,0)</f>
        <v>0</v>
      </c>
      <c r="D35" s="39">
        <f>IF(Assumptions!B9&gt;0,B35/Assumptions!B9,0)</f>
        <v>0</v>
      </c>
      <c r="E35" s="29">
        <f>IF(B49&gt;0,B35/B49,0)</f>
        <v>0</v>
      </c>
      <c r="H35" s="40"/>
    </row>
    <row r="36" spans="1:8" ht="15.75" customHeight="1" x14ac:dyDescent="0.45">
      <c r="A36" s="30" t="s">
        <v>175</v>
      </c>
      <c r="B36" s="30">
        <f>SUM(B31:B35)</f>
        <v>0</v>
      </c>
      <c r="C36" s="38">
        <f>IF(Assumptions!B10&gt;0,B36/Assumptions!B10,0)</f>
        <v>0</v>
      </c>
      <c r="D36" s="39">
        <f>IF(Assumptions!B9&gt;0,B36/Assumptions!B9,0)</f>
        <v>0</v>
      </c>
      <c r="E36" s="29">
        <f>IF(B49&gt;0,B36/B49,0)</f>
        <v>0</v>
      </c>
    </row>
    <row r="38" spans="1:8" ht="18" customHeight="1" x14ac:dyDescent="0.45">
      <c r="A38" s="2" t="s">
        <v>176</v>
      </c>
      <c r="B38" s="2"/>
      <c r="C38" s="2"/>
      <c r="D38" s="2"/>
      <c r="E38" s="2"/>
      <c r="F38" s="2"/>
      <c r="G38" s="2"/>
      <c r="H38" s="2"/>
    </row>
    <row r="39" spans="1:8" ht="15.75" customHeight="1" x14ac:dyDescent="0.45">
      <c r="A39" s="36" t="s">
        <v>177</v>
      </c>
      <c r="B39" s="37">
        <f>'Dev Budget'!B19</f>
        <v>1249585</v>
      </c>
      <c r="C39" s="38">
        <f>IF(Assumptions!B10&gt;0,B39/Assumptions!B10,0)</f>
        <v>41652.833333333336</v>
      </c>
      <c r="D39" s="39">
        <f>IF(Assumptions!B9&gt;0,B39/Assumptions!B9,0)</f>
        <v>0.28807514572798287</v>
      </c>
      <c r="E39" s="29">
        <f>IF(B49&gt;0,B39/B49,0)</f>
        <v>3.1527654176502488E-2</v>
      </c>
      <c r="H39" s="40" t="s">
        <v>178</v>
      </c>
    </row>
    <row r="40" spans="1:8" ht="15.75" customHeight="1" x14ac:dyDescent="0.45">
      <c r="A40" s="36" t="s">
        <v>179</v>
      </c>
      <c r="B40" s="37">
        <f>Assumptions!B49</f>
        <v>6700</v>
      </c>
      <c r="C40" s="38">
        <f>IF(Assumptions!B10&gt;0,B40/Assumptions!B10,0)</f>
        <v>223.33333333333334</v>
      </c>
      <c r="D40" s="39">
        <f>IF(Assumptions!B9&gt;0,B40/Assumptions!B9,0)</f>
        <v>1.544595586836818E-3</v>
      </c>
      <c r="E40" s="29">
        <f>IF(B49&gt;0,B40/B49,0)</f>
        <v>1.6904434910995785E-4</v>
      </c>
      <c r="H40" s="40"/>
    </row>
    <row r="41" spans="1:8" ht="15.75" customHeight="1" x14ac:dyDescent="0.45">
      <c r="A41" s="36" t="s">
        <v>180</v>
      </c>
      <c r="B41" s="37">
        <f>Assumptions!B50</f>
        <v>6700</v>
      </c>
      <c r="C41" s="38">
        <f>IF(Assumptions!B10&gt;0,B41/Assumptions!B10,0)</f>
        <v>223.33333333333334</v>
      </c>
      <c r="D41" s="39">
        <f>IF(Assumptions!B9&gt;0,B41/Assumptions!B9,0)</f>
        <v>1.544595586836818E-3</v>
      </c>
      <c r="E41" s="29">
        <f>IF(B49&gt;0,B41/B49,0)</f>
        <v>1.6904434910995785E-4</v>
      </c>
      <c r="H41" s="40"/>
    </row>
    <row r="42" spans="1:8" ht="15.75" customHeight="1" x14ac:dyDescent="0.45">
      <c r="A42" s="36" t="s">
        <v>181</v>
      </c>
      <c r="B42" s="37">
        <f>Assumptions!B53</f>
        <v>25800</v>
      </c>
      <c r="C42" s="38">
        <f>IF(Assumptions!B10&gt;0,B42/Assumptions!B10,0)</f>
        <v>860</v>
      </c>
      <c r="D42" s="39">
        <f>IF(Assumptions!B9&gt;0,B42/Assumptions!B9,0)</f>
        <v>5.9478456925955081E-3</v>
      </c>
      <c r="E42" s="29">
        <f>IF(B49&gt;0,B42/B49,0)</f>
        <v>6.5094689657267354E-4</v>
      </c>
      <c r="H42" s="40" t="s">
        <v>182</v>
      </c>
    </row>
    <row r="43" spans="1:8" ht="15.75" customHeight="1" x14ac:dyDescent="0.45">
      <c r="A43" s="36" t="s">
        <v>183</v>
      </c>
      <c r="B43" s="37">
        <f>Assumptions!B44</f>
        <v>240000</v>
      </c>
      <c r="C43" s="38">
        <f>IF(Assumptions!B10&gt;0,B43/Assumptions!B10,0)</f>
        <v>8000</v>
      </c>
      <c r="D43" s="39">
        <f>IF(Assumptions!B9&gt;0,B43/Assumptions!B9,0)</f>
        <v>5.5328797140423332E-2</v>
      </c>
      <c r="E43" s="29">
        <f>IF(B49&gt;0,B43/B49,0)</f>
        <v>6.0553199681178931E-3</v>
      </c>
      <c r="H43" s="40" t="s">
        <v>184</v>
      </c>
    </row>
    <row r="44" spans="1:8" ht="15.75" customHeight="1" x14ac:dyDescent="0.45">
      <c r="A44" s="36" t="s">
        <v>185</v>
      </c>
      <c r="B44" s="37">
        <f>Assumptions!B45</f>
        <v>150000</v>
      </c>
      <c r="C44" s="38">
        <f>IF(Assumptions!B10&gt;0,B44/Assumptions!B10,0)</f>
        <v>5000</v>
      </c>
      <c r="D44" s="39">
        <f>IF(Assumptions!B9&gt;0,B44/Assumptions!B9,0)</f>
        <v>3.4580498212764585E-2</v>
      </c>
      <c r="E44" s="29">
        <f>IF(B49&gt;0,B44/B49,0)</f>
        <v>3.7845749800736834E-3</v>
      </c>
      <c r="H44" s="40"/>
    </row>
    <row r="45" spans="1:8" ht="15.75" customHeight="1" x14ac:dyDescent="0.45">
      <c r="A45" s="36" t="s">
        <v>186</v>
      </c>
      <c r="B45" s="37">
        <f>Assumptions!B51</f>
        <v>1178</v>
      </c>
      <c r="C45" s="38">
        <f>IF(Assumptions!B10&gt;0,B45/Assumptions!B10,0)</f>
        <v>39.266666666666666</v>
      </c>
      <c r="D45" s="39">
        <f>IF(Assumptions!B9&gt;0,B45/Assumptions!B9,0)</f>
        <v>2.7157217929757785E-4</v>
      </c>
      <c r="E45" s="29">
        <f>IF(B49&gt;0,B45/B49,0)</f>
        <v>2.972152884351199E-5</v>
      </c>
      <c r="H45" s="40"/>
    </row>
    <row r="46" spans="1:8" ht="15.75" customHeight="1" x14ac:dyDescent="0.45">
      <c r="A46" s="36" t="s">
        <v>187</v>
      </c>
      <c r="B46" s="37">
        <f>'Dev Budget'!B28</f>
        <v>1575617.48</v>
      </c>
      <c r="C46" s="38">
        <f>IF(Assumptions!B10&gt;0,B46/Assumptions!B10,0)</f>
        <v>52520.582666666669</v>
      </c>
      <c r="D46" s="39">
        <f>IF(Assumptions!B9&gt;0,B46/Assumptions!B9,0)</f>
        <v>0.36323758300760423</v>
      </c>
      <c r="E46" s="29">
        <f>IF(B49&gt;0,B46/B49,0)</f>
        <v>3.9753616619831643E-2</v>
      </c>
      <c r="H46" s="40" t="s">
        <v>188</v>
      </c>
    </row>
    <row r="47" spans="1:8" ht="15.75" customHeight="1" x14ac:dyDescent="0.45">
      <c r="A47" s="30" t="s">
        <v>189</v>
      </c>
      <c r="B47" s="30">
        <f>SUM(B39:B46)</f>
        <v>3255580.48</v>
      </c>
      <c r="C47" s="38">
        <f>IF(Assumptions!B10&gt;0,B47/Assumptions!B10,0)</f>
        <v>108519.34933333333</v>
      </c>
      <c r="D47" s="39">
        <f>IF(Assumptions!B9&gt;0,B47/Assumptions!B9,0)</f>
        <v>0.75053063313434176</v>
      </c>
      <c r="E47" s="29">
        <f>IF(B49&gt;0,B47/B49,0)</f>
        <v>8.213992286816181E-2</v>
      </c>
    </row>
    <row r="49" spans="1:4" ht="15.75" customHeight="1" x14ac:dyDescent="0.45">
      <c r="A49" s="41" t="s">
        <v>190</v>
      </c>
      <c r="B49" s="41">
        <f>B11+B20+B28+B36+B47</f>
        <v>39634569.479999997</v>
      </c>
      <c r="C49" s="38">
        <f>IF(Assumptions!B10&gt;0,B49/Assumptions!B10,0)</f>
        <v>1321152.3159999999</v>
      </c>
      <c r="D49" s="39">
        <f>IF(Assumptions!B9&gt;0,B49/Assumptions!B9,0)</f>
        <v>9.1372210604455582</v>
      </c>
    </row>
    <row r="51" spans="1:4" ht="18" customHeight="1" x14ac:dyDescent="0.45">
      <c r="A51" s="3" t="s">
        <v>191</v>
      </c>
      <c r="B51" s="3"/>
      <c r="C51" s="3"/>
      <c r="D51" s="3"/>
    </row>
    <row r="52" spans="1:4" ht="15.75" customHeight="1" x14ac:dyDescent="0.45">
      <c r="A52" s="36" t="s">
        <v>192</v>
      </c>
      <c r="B52" s="38">
        <f>B49/Assumptions!B7</f>
        <v>291430.65794117644</v>
      </c>
    </row>
    <row r="53" spans="1:4" ht="15.75" customHeight="1" x14ac:dyDescent="0.45">
      <c r="A53" s="36" t="s">
        <v>193</v>
      </c>
      <c r="B53" s="39">
        <f>B49/Assumptions!B9</f>
        <v>9.1372210604455582</v>
      </c>
    </row>
    <row r="54" spans="1:4" ht="15.75" customHeight="1" x14ac:dyDescent="0.45">
      <c r="A54" s="36" t="s">
        <v>194</v>
      </c>
      <c r="B54" s="38">
        <f>B49/Assumptions!B10</f>
        <v>1321152.3159999999</v>
      </c>
    </row>
    <row r="55" spans="1:4" ht="15.75" customHeight="1" x14ac:dyDescent="0.45">
      <c r="A55" s="36" t="s">
        <v>195</v>
      </c>
      <c r="B55" s="29">
        <f>B20/B49</f>
        <v>0.59515469221642725</v>
      </c>
    </row>
    <row r="56" spans="1:4" ht="15.75" customHeight="1" x14ac:dyDescent="0.45">
      <c r="A56" s="36" t="s">
        <v>196</v>
      </c>
      <c r="B56" s="29">
        <f>B11/B49</f>
        <v>0.28730699360178846</v>
      </c>
    </row>
    <row r="57" spans="1:4" ht="15.75" customHeight="1" x14ac:dyDescent="0.45">
      <c r="A57" s="36" t="s">
        <v>197</v>
      </c>
      <c r="B57" s="29">
        <f>(B28+B47)/B49</f>
        <v>0.11753831418178434</v>
      </c>
    </row>
  </sheetData>
  <mergeCells count="9">
    <mergeCell ref="A22:H22"/>
    <mergeCell ref="A30:H30"/>
    <mergeCell ref="A38:H38"/>
    <mergeCell ref="A51:D51"/>
    <mergeCell ref="A1:H1"/>
    <mergeCell ref="A2:H2"/>
    <mergeCell ref="A4:H4"/>
    <mergeCell ref="A6:H6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showGridLines="0" zoomScaleNormal="100" workbookViewId="0"/>
  </sheetViews>
  <sheetFormatPr defaultColWidth="8.6640625" defaultRowHeight="14.25" x14ac:dyDescent="0.45"/>
  <cols>
    <col min="1" max="1" width="28" customWidth="1"/>
    <col min="2" max="2" width="10" customWidth="1"/>
    <col min="3" max="5" width="12" customWidth="1"/>
    <col min="6" max="7" width="14" customWidth="1"/>
    <col min="8" max="8" width="12" customWidth="1"/>
    <col min="9" max="9" width="22" customWidth="1"/>
  </cols>
  <sheetData>
    <row r="1" spans="1:9" ht="30" customHeight="1" x14ac:dyDescent="0.45">
      <c r="A1" s="5" t="s">
        <v>198</v>
      </c>
      <c r="B1" s="5"/>
      <c r="C1" s="5"/>
      <c r="D1" s="5"/>
      <c r="E1" s="5"/>
      <c r="F1" s="5"/>
      <c r="G1" s="5"/>
      <c r="H1" s="5"/>
      <c r="I1" s="5"/>
    </row>
    <row r="2" spans="1:9" ht="15.75" customHeight="1" x14ac:dyDescent="0.45">
      <c r="A2" s="4" t="s">
        <v>199</v>
      </c>
      <c r="B2" s="4"/>
      <c r="C2" s="4"/>
      <c r="D2" s="4"/>
      <c r="E2" s="4"/>
      <c r="F2" s="4"/>
      <c r="G2" s="4"/>
      <c r="H2" s="4"/>
      <c r="I2" s="4"/>
    </row>
    <row r="4" spans="1:9" ht="18" customHeight="1" x14ac:dyDescent="0.45">
      <c r="A4" s="3" t="s">
        <v>200</v>
      </c>
      <c r="B4" s="3"/>
      <c r="C4" s="3"/>
      <c r="D4" s="3"/>
      <c r="E4" s="3"/>
      <c r="F4" s="3"/>
      <c r="G4" s="3"/>
      <c r="H4" s="3"/>
      <c r="I4" s="3"/>
    </row>
    <row r="5" spans="1:9" ht="15.75" customHeight="1" x14ac:dyDescent="0.45">
      <c r="A5" s="36" t="s">
        <v>73</v>
      </c>
      <c r="B5" s="42">
        <f>Assumptions!B7</f>
        <v>136</v>
      </c>
      <c r="D5" s="40" t="s">
        <v>201</v>
      </c>
    </row>
    <row r="6" spans="1:9" ht="15.75" customHeight="1" x14ac:dyDescent="0.45">
      <c r="A6" s="36" t="s">
        <v>202</v>
      </c>
      <c r="B6" s="42">
        <f>Assumptions!B8</f>
        <v>99.58</v>
      </c>
      <c r="D6" s="40" t="s">
        <v>203</v>
      </c>
    </row>
    <row r="7" spans="1:9" ht="15.75" customHeight="1" x14ac:dyDescent="0.45">
      <c r="A7" s="36" t="s">
        <v>4</v>
      </c>
      <c r="B7" s="43">
        <f>Assumptions!B9</f>
        <v>4337705</v>
      </c>
      <c r="D7" s="40">
        <f>IF(Assumptions!B9&gt;0,Assumptions!B9/Assumptions!B10,0)</f>
        <v>144590.16666666666</v>
      </c>
    </row>
    <row r="8" spans="1:9" ht="15.75" customHeight="1" x14ac:dyDescent="0.45">
      <c r="A8" s="36" t="s">
        <v>204</v>
      </c>
      <c r="B8" s="44">
        <f>Assumptions!B8/Assumptions!B7</f>
        <v>0.73220588235294115</v>
      </c>
      <c r="D8" s="40" t="s">
        <v>205</v>
      </c>
    </row>
    <row r="9" spans="1:9" ht="15.75" customHeight="1" x14ac:dyDescent="0.45">
      <c r="A9" s="36" t="s">
        <v>5</v>
      </c>
      <c r="B9" s="43">
        <f>Assumptions!B10</f>
        <v>30</v>
      </c>
      <c r="D9" s="40" t="s">
        <v>206</v>
      </c>
    </row>
    <row r="10" spans="1:9" ht="15.75" customHeight="1" x14ac:dyDescent="0.45">
      <c r="A10" s="36" t="s">
        <v>207</v>
      </c>
      <c r="B10" s="43">
        <f>Assumptions!B9/Assumptions!B10</f>
        <v>144590.16666666666</v>
      </c>
      <c r="D10" s="40" t="s">
        <v>208</v>
      </c>
    </row>
    <row r="11" spans="1:9" ht="15.75" customHeight="1" x14ac:dyDescent="0.45">
      <c r="A11" s="36" t="s">
        <v>209</v>
      </c>
      <c r="B11" s="42">
        <f>Assumptions!B8/Assumptions!B10</f>
        <v>3.3193333333333332</v>
      </c>
      <c r="D11" s="40"/>
    </row>
    <row r="13" spans="1:9" ht="18" customHeight="1" x14ac:dyDescent="0.45">
      <c r="A13" s="3" t="s">
        <v>210</v>
      </c>
      <c r="B13" s="3"/>
      <c r="C13" s="3"/>
      <c r="D13" s="3"/>
      <c r="E13" s="3"/>
      <c r="F13" s="3"/>
      <c r="G13" s="3"/>
      <c r="H13" s="3"/>
      <c r="I13" s="3"/>
    </row>
    <row r="14" spans="1:9" ht="15.75" customHeight="1" x14ac:dyDescent="0.45">
      <c r="A14" s="26" t="s">
        <v>211</v>
      </c>
      <c r="B14" s="26" t="s">
        <v>212</v>
      </c>
      <c r="C14" s="26" t="s">
        <v>78</v>
      </c>
      <c r="D14" s="26" t="s">
        <v>213</v>
      </c>
      <c r="E14" s="26" t="s">
        <v>214</v>
      </c>
      <c r="F14" s="26" t="s">
        <v>215</v>
      </c>
      <c r="G14" s="26" t="s">
        <v>79</v>
      </c>
      <c r="H14" s="26" t="s">
        <v>80</v>
      </c>
      <c r="I14" s="26" t="s">
        <v>216</v>
      </c>
    </row>
    <row r="15" spans="1:9" ht="15.75" customHeight="1" x14ac:dyDescent="0.45">
      <c r="A15" s="36" t="s">
        <v>217</v>
      </c>
      <c r="B15" s="43">
        <f>Assumptions!B14</f>
        <v>8</v>
      </c>
      <c r="C15" s="42">
        <f>Assumptions!C14</f>
        <v>27.6</v>
      </c>
      <c r="D15" s="31">
        <f>C15*43560</f>
        <v>1202256</v>
      </c>
      <c r="E15" s="29">
        <f>C15/Assumptions!B8</f>
        <v>0.27716408917453306</v>
      </c>
      <c r="F15" s="31">
        <f>D15/B15</f>
        <v>150282</v>
      </c>
      <c r="G15" s="45">
        <f>Assumptions!D14</f>
        <v>7.6529999999999996</v>
      </c>
      <c r="H15" s="37">
        <f>Assumptions!E14</f>
        <v>9190000</v>
      </c>
      <c r="I15" s="38">
        <f>H15/C15</f>
        <v>332971.0144927536</v>
      </c>
    </row>
    <row r="16" spans="1:9" ht="15.75" customHeight="1" x14ac:dyDescent="0.45">
      <c r="A16" s="36" t="s">
        <v>218</v>
      </c>
      <c r="B16" s="43">
        <f>Assumptions!B15</f>
        <v>18</v>
      </c>
      <c r="C16" s="42">
        <f>Assumptions!C15</f>
        <v>23.5</v>
      </c>
      <c r="D16" s="31">
        <f>C16*43560</f>
        <v>1023660</v>
      </c>
      <c r="E16" s="29">
        <f>C16/Assumptions!B8</f>
        <v>0.23599116288411329</v>
      </c>
      <c r="F16" s="31">
        <f>D16/B16</f>
        <v>56870</v>
      </c>
      <c r="G16" s="45">
        <f>Assumptions!D15</f>
        <v>14.555999999999999</v>
      </c>
      <c r="H16" s="37">
        <f>Assumptions!E15</f>
        <v>14900000</v>
      </c>
      <c r="I16" s="38">
        <f>H16/C16</f>
        <v>634042.55319148931</v>
      </c>
    </row>
    <row r="17" spans="1:9" ht="15.75" customHeight="1" x14ac:dyDescent="0.45">
      <c r="A17" s="36" t="s">
        <v>84</v>
      </c>
      <c r="B17" s="43">
        <f>Assumptions!B16</f>
        <v>4</v>
      </c>
      <c r="C17" s="42">
        <f>Assumptions!C16</f>
        <v>48.5</v>
      </c>
      <c r="D17" s="31">
        <f>C17*43560</f>
        <v>2112660</v>
      </c>
      <c r="E17" s="29">
        <f>C17/Assumptions!B8</f>
        <v>0.48704559148423376</v>
      </c>
      <c r="F17" s="31">
        <f>D17/B17</f>
        <v>528165</v>
      </c>
      <c r="G17" s="45">
        <f>Assumptions!D16</f>
        <v>7.242</v>
      </c>
      <c r="H17" s="37">
        <f>Assumptions!E16</f>
        <v>15300437</v>
      </c>
      <c r="I17" s="38">
        <f>H17/C17</f>
        <v>315472.92783505155</v>
      </c>
    </row>
    <row r="18" spans="1:9" ht="15.75" customHeight="1" x14ac:dyDescent="0.45">
      <c r="A18" s="30" t="s">
        <v>219</v>
      </c>
      <c r="B18" s="46">
        <f>SUM(B15:B17)</f>
        <v>30</v>
      </c>
      <c r="C18" s="47">
        <f>SUM(C15:C17)</f>
        <v>99.6</v>
      </c>
      <c r="D18" s="46">
        <f>SUM(D15:D17)</f>
        <v>4338576</v>
      </c>
      <c r="E18" s="33">
        <f>1</f>
        <v>1</v>
      </c>
      <c r="H18" s="30">
        <f>SUM(H15:H17)</f>
        <v>39390437</v>
      </c>
      <c r="I18" s="38">
        <f>H18/C18</f>
        <v>395486.31526104419</v>
      </c>
    </row>
    <row r="20" spans="1:9" ht="18" customHeight="1" x14ac:dyDescent="0.45">
      <c r="A20" s="3" t="s">
        <v>220</v>
      </c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45">
      <c r="A21" s="26" t="s">
        <v>221</v>
      </c>
      <c r="B21" s="26" t="s">
        <v>222</v>
      </c>
      <c r="C21" s="26" t="s">
        <v>223</v>
      </c>
    </row>
    <row r="22" spans="1:9" ht="15.75" customHeight="1" x14ac:dyDescent="0.45">
      <c r="A22" s="36" t="s">
        <v>224</v>
      </c>
      <c r="B22" s="37">
        <f>Assumptions!B56</f>
        <v>11387289</v>
      </c>
      <c r="C22" s="40" t="s">
        <v>225</v>
      </c>
    </row>
    <row r="23" spans="1:9" ht="15.75" customHeight="1" x14ac:dyDescent="0.45">
      <c r="A23" s="36" t="s">
        <v>226</v>
      </c>
      <c r="B23" s="37">
        <f>Assumptions!E17</f>
        <v>39390437</v>
      </c>
      <c r="C23" s="40" t="s">
        <v>227</v>
      </c>
    </row>
    <row r="24" spans="1:9" ht="15.75" customHeight="1" x14ac:dyDescent="0.45">
      <c r="A24" s="36" t="s">
        <v>228</v>
      </c>
      <c r="B24" s="37">
        <f>Assumptions!E17-Assumptions!B56</f>
        <v>28003148</v>
      </c>
      <c r="C24" s="40" t="s">
        <v>229</v>
      </c>
    </row>
    <row r="25" spans="1:9" ht="15.75" customHeight="1" x14ac:dyDescent="0.45">
      <c r="A25" s="36" t="s">
        <v>230</v>
      </c>
      <c r="B25" s="37">
        <f>Assumptions!B56/Assumptions!B7</f>
        <v>83730.066176470587</v>
      </c>
      <c r="C25" s="40"/>
    </row>
    <row r="26" spans="1:9" ht="15.75" customHeight="1" x14ac:dyDescent="0.45">
      <c r="A26" s="36" t="s">
        <v>231</v>
      </c>
      <c r="B26" s="37">
        <f>Assumptions!B56/Assumptions!B9</f>
        <v>2.6251875127515589</v>
      </c>
      <c r="C26" s="40"/>
    </row>
    <row r="27" spans="1:9" ht="15.75" customHeight="1" x14ac:dyDescent="0.45">
      <c r="A27" s="36" t="s">
        <v>232</v>
      </c>
      <c r="B27" s="44">
        <f>Assumptions!B56/Assumptions!E17</f>
        <v>0.2890876534322277</v>
      </c>
      <c r="C27" s="40" t="s">
        <v>233</v>
      </c>
    </row>
    <row r="28" spans="1:9" ht="15.75" customHeight="1" x14ac:dyDescent="0.45">
      <c r="A28" s="36" t="s">
        <v>234</v>
      </c>
      <c r="B28" s="37">
        <f>Assumptions!E17*(1-Assumptions!B60)</f>
        <v>37814819.519999996</v>
      </c>
      <c r="C28" s="40"/>
    </row>
    <row r="29" spans="1:9" ht="15.75" customHeight="1" x14ac:dyDescent="0.45">
      <c r="A29" s="36" t="s">
        <v>235</v>
      </c>
      <c r="B29" s="37">
        <f>Assumptions!E17*(1-Assumptions!B60)/Assumptions!B8</f>
        <v>379743.11628841131</v>
      </c>
      <c r="C29" s="40"/>
    </row>
    <row r="31" spans="1:9" ht="18" customHeight="1" x14ac:dyDescent="0.45">
      <c r="A31" s="3" t="s">
        <v>236</v>
      </c>
      <c r="B31" s="3"/>
      <c r="C31" s="3"/>
      <c r="D31" s="3"/>
      <c r="E31" s="3"/>
      <c r="F31" s="3"/>
      <c r="G31" s="3"/>
      <c r="H31" s="3"/>
      <c r="I31" s="3"/>
    </row>
    <row r="32" spans="1:9" ht="15.75" customHeight="1" x14ac:dyDescent="0.45">
      <c r="A32" s="26" t="s">
        <v>237</v>
      </c>
      <c r="B32" s="26" t="s">
        <v>238</v>
      </c>
      <c r="C32" s="26" t="s">
        <v>239</v>
      </c>
      <c r="D32" s="26" t="s">
        <v>77</v>
      </c>
      <c r="E32" s="26" t="s">
        <v>240</v>
      </c>
      <c r="F32" s="26" t="s">
        <v>241</v>
      </c>
      <c r="G32" s="26" t="s">
        <v>242</v>
      </c>
    </row>
    <row r="33" spans="1:7" ht="15.75" customHeight="1" x14ac:dyDescent="0.45">
      <c r="A33" s="36" t="s">
        <v>243</v>
      </c>
      <c r="B33" s="43">
        <f>Assumptions!B23</f>
        <v>5</v>
      </c>
      <c r="C33" s="43">
        <f>Assumptions!B24</f>
        <v>22</v>
      </c>
      <c r="D33" s="43">
        <f>Assumptions!B14</f>
        <v>8</v>
      </c>
      <c r="E33" s="32">
        <f>Assumptions!B14/(Assumptions!B24-Assumptions!B23+1)</f>
        <v>0.44444444444444442</v>
      </c>
      <c r="F33" s="37">
        <f>Assumptions!E14</f>
        <v>9190000</v>
      </c>
      <c r="G33" s="38">
        <f>F33</f>
        <v>9190000</v>
      </c>
    </row>
    <row r="34" spans="1:7" ht="15.75" customHeight="1" x14ac:dyDescent="0.45">
      <c r="A34" s="36" t="s">
        <v>244</v>
      </c>
      <c r="B34" s="43">
        <f>Assumptions!B23</f>
        <v>5</v>
      </c>
      <c r="C34" s="43">
        <f>Assumptions!B24</f>
        <v>22</v>
      </c>
      <c r="D34" s="43">
        <f>Assumptions!B15</f>
        <v>18</v>
      </c>
      <c r="E34" s="32">
        <f>Assumptions!B15/(Assumptions!B24-Assumptions!B23+1)</f>
        <v>1</v>
      </c>
      <c r="F34" s="37">
        <f>Assumptions!E15</f>
        <v>14900000</v>
      </c>
      <c r="G34" s="38">
        <f>G33+F34</f>
        <v>24090000</v>
      </c>
    </row>
    <row r="35" spans="1:7" ht="15.75" customHeight="1" x14ac:dyDescent="0.45">
      <c r="A35" s="36" t="s">
        <v>245</v>
      </c>
      <c r="B35" s="43">
        <f>Assumptions!B23</f>
        <v>5</v>
      </c>
      <c r="C35" s="43">
        <f>Assumptions!B24</f>
        <v>22</v>
      </c>
      <c r="D35" s="43">
        <f>Assumptions!B16</f>
        <v>4</v>
      </c>
      <c r="E35" s="32">
        <f>Assumptions!B16/(Assumptions!B24-Assumptions!B23+1)</f>
        <v>0.22222222222222221</v>
      </c>
      <c r="F35" s="37">
        <f>Assumptions!E16</f>
        <v>15300437</v>
      </c>
      <c r="G35" s="38">
        <f>G34+F35</f>
        <v>39390437</v>
      </c>
    </row>
    <row r="36" spans="1:7" ht="18" customHeight="1" x14ac:dyDescent="0.45">
      <c r="A36" s="30" t="s">
        <v>246</v>
      </c>
      <c r="D36" s="46">
        <f>SUM(D33:D35)</f>
        <v>30</v>
      </c>
      <c r="F36" s="30">
        <f>Assumptions!E17</f>
        <v>39390437</v>
      </c>
      <c r="G36" s="30">
        <f>Assumptions!E17</f>
        <v>39390437</v>
      </c>
    </row>
  </sheetData>
  <mergeCells count="6">
    <mergeCell ref="A31:I31"/>
    <mergeCell ref="A1:I1"/>
    <mergeCell ref="A2:I2"/>
    <mergeCell ref="A4:I4"/>
    <mergeCell ref="A13:I13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zoomScaleNormal="100" workbookViewId="0"/>
  </sheetViews>
  <sheetFormatPr defaultColWidth="8.6640625" defaultRowHeight="14.25" x14ac:dyDescent="0.45"/>
  <cols>
    <col min="1" max="1" width="32" customWidth="1"/>
    <col min="2" max="2" width="14" customWidth="1"/>
    <col min="3" max="6" width="12" customWidth="1"/>
    <col min="7" max="8" width="10" customWidth="1"/>
    <col min="9" max="9" width="22" customWidth="1"/>
  </cols>
  <sheetData>
    <row r="1" spans="1:9" ht="30" customHeight="1" x14ac:dyDescent="0.45">
      <c r="A1" s="5" t="s">
        <v>247</v>
      </c>
      <c r="B1" s="5"/>
      <c r="C1" s="5"/>
      <c r="D1" s="5"/>
      <c r="E1" s="5"/>
      <c r="F1" s="5"/>
      <c r="G1" s="5"/>
      <c r="H1" s="5"/>
      <c r="I1" s="5"/>
    </row>
    <row r="2" spans="1:9" ht="15.75" customHeight="1" x14ac:dyDescent="0.45">
      <c r="A2" s="4" t="s">
        <v>248</v>
      </c>
      <c r="B2" s="4"/>
      <c r="C2" s="4"/>
      <c r="D2" s="4"/>
      <c r="E2" s="4"/>
      <c r="F2" s="4"/>
      <c r="G2" s="4"/>
      <c r="H2" s="4"/>
      <c r="I2" s="4"/>
    </row>
    <row r="4" spans="1:9" ht="18" customHeight="1" x14ac:dyDescent="0.45">
      <c r="A4" s="3" t="s">
        <v>249</v>
      </c>
      <c r="B4" s="3"/>
      <c r="C4" s="3"/>
      <c r="D4" s="3"/>
      <c r="E4" s="3"/>
      <c r="F4" s="3"/>
      <c r="G4" s="3"/>
      <c r="H4" s="3"/>
      <c r="I4" s="3"/>
    </row>
    <row r="5" spans="1:9" ht="15.75" customHeight="1" x14ac:dyDescent="0.45">
      <c r="A5" s="26" t="s">
        <v>250</v>
      </c>
      <c r="B5" s="26" t="s">
        <v>251</v>
      </c>
      <c r="C5" s="26" t="s">
        <v>130</v>
      </c>
      <c r="D5" s="26" t="s">
        <v>131</v>
      </c>
      <c r="E5" s="26" t="s">
        <v>133</v>
      </c>
      <c r="F5" s="26" t="s">
        <v>238</v>
      </c>
      <c r="G5" s="26" t="s">
        <v>239</v>
      </c>
      <c r="H5" s="26" t="s">
        <v>252</v>
      </c>
      <c r="I5" s="26" t="s">
        <v>135</v>
      </c>
    </row>
    <row r="6" spans="1:9" ht="15.75" customHeight="1" x14ac:dyDescent="0.45">
      <c r="A6" s="36" t="s">
        <v>97</v>
      </c>
      <c r="B6" s="37">
        <f>Assumptions!B29</f>
        <v>1993000</v>
      </c>
      <c r="C6" s="38">
        <f>IF(Assumptions!B10&gt;0,B6/Assumptions!B10,0)</f>
        <v>66433.333333333328</v>
      </c>
      <c r="D6" s="39">
        <f>IF(Assumptions!B9&gt;0,B6/Assumptions!B9,0)</f>
        <v>0.45945955292026541</v>
      </c>
      <c r="E6" s="29">
        <f>IF(Assumptions!B35&gt;0,B6/Assumptions!B35,0)</f>
        <v>8.4489607311975648E-2</v>
      </c>
      <c r="F6" s="24">
        <v>1</v>
      </c>
      <c r="G6" s="24">
        <v>18</v>
      </c>
      <c r="H6" s="31">
        <f t="shared" ref="H6:H11" si="0">G6-F6+1</f>
        <v>18</v>
      </c>
      <c r="I6" s="40" t="s">
        <v>253</v>
      </c>
    </row>
    <row r="7" spans="1:9" ht="15.75" customHeight="1" x14ac:dyDescent="0.45">
      <c r="A7" s="36" t="s">
        <v>98</v>
      </c>
      <c r="B7" s="37">
        <f>Assumptions!B30</f>
        <v>3432000</v>
      </c>
      <c r="C7" s="38">
        <f>IF(Assumptions!B10&gt;0,B7/Assumptions!B10,0)</f>
        <v>114400</v>
      </c>
      <c r="D7" s="39">
        <f>IF(Assumptions!B9&gt;0,B7/Assumptions!B9,0)</f>
        <v>0.79120179910805366</v>
      </c>
      <c r="E7" s="29">
        <f>IF(Assumptions!B35&gt;0,B7/Assumptions!B35,0)</f>
        <v>0.14549339302293046</v>
      </c>
      <c r="F7" s="24">
        <v>1</v>
      </c>
      <c r="G7" s="24">
        <v>20</v>
      </c>
      <c r="H7" s="31">
        <f t="shared" si="0"/>
        <v>20</v>
      </c>
      <c r="I7" s="40" t="s">
        <v>254</v>
      </c>
    </row>
    <row r="8" spans="1:9" ht="15.75" customHeight="1" x14ac:dyDescent="0.45">
      <c r="A8" s="36" t="s">
        <v>255</v>
      </c>
      <c r="B8" s="37">
        <f>Assumptions!B31</f>
        <v>12527000</v>
      </c>
      <c r="C8" s="38">
        <f>IF(Assumptions!B10&gt;0,B8/Assumptions!B10,0)</f>
        <v>417566.66666666669</v>
      </c>
      <c r="D8" s="39">
        <f>IF(Assumptions!B9&gt;0,B8/Assumptions!B9,0)</f>
        <v>2.8879326740753464</v>
      </c>
      <c r="E8" s="29">
        <f>IF(Assumptions!B35&gt;0,B8/Assumptions!B35,0)</f>
        <v>0.5310593631696533</v>
      </c>
      <c r="F8" s="24">
        <v>1</v>
      </c>
      <c r="G8" s="24">
        <v>24</v>
      </c>
      <c r="H8" s="31">
        <f t="shared" si="0"/>
        <v>24</v>
      </c>
      <c r="I8" s="40" t="s">
        <v>256</v>
      </c>
    </row>
    <row r="9" spans="1:9" ht="15.75" customHeight="1" x14ac:dyDescent="0.45">
      <c r="A9" s="36" t="s">
        <v>150</v>
      </c>
      <c r="B9" s="37">
        <f>Assumptions!B32</f>
        <v>5098000</v>
      </c>
      <c r="C9" s="38">
        <f>IF(Assumptions!B10&gt;0,B9/Assumptions!B10,0)</f>
        <v>169933.33333333334</v>
      </c>
      <c r="D9" s="39">
        <f>IF(Assumptions!B9&gt;0,B9/Assumptions!B9,0)</f>
        <v>1.1752758659244924</v>
      </c>
      <c r="E9" s="29">
        <f>IF(Assumptions!B35&gt;0,B9/Assumptions!B35,0)</f>
        <v>0.21612043054513391</v>
      </c>
      <c r="F9" s="24">
        <v>6</v>
      </c>
      <c r="G9" s="24">
        <v>30</v>
      </c>
      <c r="H9" s="31">
        <f t="shared" si="0"/>
        <v>25</v>
      </c>
      <c r="I9" s="40" t="s">
        <v>257</v>
      </c>
    </row>
    <row r="10" spans="1:9" ht="15.75" customHeight="1" x14ac:dyDescent="0.45">
      <c r="A10" s="36" t="s">
        <v>152</v>
      </c>
      <c r="B10" s="37">
        <f>Assumptions!B33</f>
        <v>262000</v>
      </c>
      <c r="C10" s="38">
        <f>IF(Assumptions!B10&gt;0,B10/Assumptions!B10,0)</f>
        <v>8733.3333333333339</v>
      </c>
      <c r="D10" s="39">
        <f>IF(Assumptions!B9&gt;0,B10/Assumptions!B9,0)</f>
        <v>6.0400603544962142E-2</v>
      </c>
      <c r="E10" s="29">
        <f>IF(Assumptions!B35&gt;0,B10/Assumptions!B35,0)</f>
        <v>1.1107013103731871E-2</v>
      </c>
      <c r="F10" s="24">
        <v>1</v>
      </c>
      <c r="G10" s="24">
        <v>48</v>
      </c>
      <c r="H10" s="31">
        <f t="shared" si="0"/>
        <v>48</v>
      </c>
      <c r="I10" s="40" t="s">
        <v>258</v>
      </c>
    </row>
    <row r="11" spans="1:9" ht="15.75" customHeight="1" x14ac:dyDescent="0.45">
      <c r="A11" s="36" t="s">
        <v>259</v>
      </c>
      <c r="B11" s="37">
        <f>Assumptions!B34</f>
        <v>276700</v>
      </c>
      <c r="C11" s="38">
        <f>IF(Assumptions!B10&gt;0,B11/Assumptions!B10,0)</f>
        <v>9223.3333333333339</v>
      </c>
      <c r="D11" s="39">
        <f>IF(Assumptions!B9&gt;0,B11/Assumptions!B9,0)</f>
        <v>6.3789492369813072E-2</v>
      </c>
      <c r="E11" s="29">
        <f>IF(Assumptions!B35&gt;0,B11/Assumptions!B35,0)</f>
        <v>1.1730192846574844E-2</v>
      </c>
      <c r="F11" s="24">
        <v>1</v>
      </c>
      <c r="G11" s="24">
        <v>50</v>
      </c>
      <c r="H11" s="31">
        <f t="shared" si="0"/>
        <v>50</v>
      </c>
      <c r="I11" s="40" t="s">
        <v>260</v>
      </c>
    </row>
    <row r="12" spans="1:9" ht="15.75" customHeight="1" x14ac:dyDescent="0.45">
      <c r="A12" s="30" t="s">
        <v>261</v>
      </c>
      <c r="B12" s="30">
        <f>Assumptions!B35</f>
        <v>23588700</v>
      </c>
      <c r="C12" s="38">
        <f>IF(Assumptions!B10&gt;0,B12/Assumptions!B10,0)</f>
        <v>786290</v>
      </c>
      <c r="D12" s="39">
        <f>IF(Assumptions!B9&gt;0,B12/Assumptions!B9,0)</f>
        <v>5.4380599879429328</v>
      </c>
      <c r="E12" s="29">
        <f>1</f>
        <v>1</v>
      </c>
    </row>
    <row r="14" spans="1:9" ht="18" customHeight="1" x14ac:dyDescent="0.45">
      <c r="A14" s="3" t="s">
        <v>262</v>
      </c>
      <c r="B14" s="3"/>
      <c r="C14" s="3"/>
      <c r="D14" s="3"/>
      <c r="E14" s="3"/>
      <c r="F14" s="3"/>
      <c r="G14" s="3"/>
      <c r="H14" s="3"/>
      <c r="I14" s="3"/>
    </row>
    <row r="15" spans="1:9" ht="15.75" customHeight="1" x14ac:dyDescent="0.45">
      <c r="A15" s="26" t="s">
        <v>263</v>
      </c>
      <c r="B15" s="26" t="s">
        <v>251</v>
      </c>
      <c r="C15" s="26" t="s">
        <v>130</v>
      </c>
      <c r="D15" s="26" t="s">
        <v>131</v>
      </c>
      <c r="E15" s="26" t="s">
        <v>264</v>
      </c>
      <c r="F15" s="26" t="s">
        <v>265</v>
      </c>
      <c r="G15" s="26"/>
      <c r="H15" s="26"/>
      <c r="I15" s="26" t="s">
        <v>135</v>
      </c>
    </row>
    <row r="16" spans="1:9" ht="15.75" customHeight="1" x14ac:dyDescent="0.45">
      <c r="A16" s="36" t="s">
        <v>266</v>
      </c>
      <c r="B16" s="37">
        <f>Assumptions!B38</f>
        <v>1320000</v>
      </c>
      <c r="C16" s="38">
        <f>IF(Assumptions!B10&gt;0,B16/Assumptions!B10,0)</f>
        <v>44000</v>
      </c>
      <c r="D16" s="39">
        <f>IF(Assumptions!B9&gt;0,B16/Assumptions!B9,0)</f>
        <v>0.30430838427232831</v>
      </c>
      <c r="E16" s="29">
        <f>IF(SUM(B16:B21)&gt;0,B16/SUM(B16:B21),0)</f>
        <v>0.73619631901840488</v>
      </c>
      <c r="I16" s="40" t="s">
        <v>267</v>
      </c>
    </row>
    <row r="17" spans="1:9" ht="15.75" customHeight="1" x14ac:dyDescent="0.45">
      <c r="A17" s="36" t="s">
        <v>268</v>
      </c>
      <c r="B17" s="37">
        <f>Assumptions!B39</f>
        <v>83000</v>
      </c>
      <c r="C17" s="38">
        <f>IF(Assumptions!B10&gt;0,B17/Assumptions!B10,0)</f>
        <v>2766.6666666666665</v>
      </c>
      <c r="D17" s="39">
        <f>IF(Assumptions!B9&gt;0,B17/Assumptions!B9,0)</f>
        <v>1.9134542344396405E-2</v>
      </c>
      <c r="E17" s="29">
        <f>IF(SUM(B16:B22)&gt;0,B17/SUM(B16:B22),0)</f>
        <v>2.3145566090351368E-2</v>
      </c>
      <c r="I17" s="40" t="s">
        <v>269</v>
      </c>
    </row>
    <row r="18" spans="1:9" ht="15.75" customHeight="1" x14ac:dyDescent="0.45">
      <c r="A18" s="36" t="s">
        <v>270</v>
      </c>
      <c r="B18" s="28">
        <v>0</v>
      </c>
      <c r="C18" s="38">
        <f>IF(Assumptions!B10&gt;0,B18/Assumptions!B10,0)</f>
        <v>0</v>
      </c>
      <c r="D18" s="39">
        <f>IF(Assumptions!B9&gt;0,B18/Assumptions!B9,0)</f>
        <v>0</v>
      </c>
      <c r="E18" s="29">
        <f>IF(SUM(B16:B23)&gt;0,B18/SUM(B16:B23),0)</f>
        <v>0</v>
      </c>
      <c r="I18" s="40" t="s">
        <v>271</v>
      </c>
    </row>
    <row r="19" spans="1:9" ht="15.75" customHeight="1" x14ac:dyDescent="0.45">
      <c r="A19" s="36" t="s">
        <v>272</v>
      </c>
      <c r="B19" s="37">
        <f>Assumptions!B44</f>
        <v>240000</v>
      </c>
      <c r="C19" s="38">
        <f>IF(Assumptions!B10&gt;0,B19/Assumptions!B10,0)</f>
        <v>8000</v>
      </c>
      <c r="D19" s="39">
        <f>IF(Assumptions!B9&gt;0,B19/Assumptions!B9,0)</f>
        <v>5.5328797140423332E-2</v>
      </c>
      <c r="E19" s="29">
        <f>IF(SUM(B16:B24)&gt;0,B19/SUM(B16:B24),0)</f>
        <v>8.2850899450077151E-3</v>
      </c>
      <c r="I19" s="40" t="s">
        <v>273</v>
      </c>
    </row>
    <row r="20" spans="1:9" ht="15.75" customHeight="1" x14ac:dyDescent="0.45">
      <c r="A20" s="36" t="s">
        <v>274</v>
      </c>
      <c r="B20" s="37">
        <f>Assumptions!B45</f>
        <v>150000</v>
      </c>
      <c r="C20" s="38">
        <f>IF(Assumptions!B10&gt;0,B20/Assumptions!B10,0)</f>
        <v>5000</v>
      </c>
      <c r="D20" s="39">
        <f>IF(Assumptions!B9&gt;0,B20/Assumptions!B9,0)</f>
        <v>3.4580498212764585E-2</v>
      </c>
      <c r="E20" s="29">
        <f>IF(SUM(B16:B25)&gt;0,B20/SUM(B16:B25),0)</f>
        <v>5.1781812156298226E-3</v>
      </c>
      <c r="I20" s="40" t="s">
        <v>275</v>
      </c>
    </row>
    <row r="21" spans="1:9" ht="15.75" customHeight="1" x14ac:dyDescent="0.45">
      <c r="A21" s="36" t="s">
        <v>276</v>
      </c>
      <c r="B21" s="28">
        <v>0</v>
      </c>
      <c r="C21" s="38">
        <f>IF(Assumptions!B10&gt;0,B21/Assumptions!B10,0)</f>
        <v>0</v>
      </c>
      <c r="D21" s="39">
        <f>IF(Assumptions!B9&gt;0,B21/Assumptions!B9,0)</f>
        <v>0</v>
      </c>
      <c r="E21" s="29">
        <f>IF(SUM(B16:B26)&gt;0,B21/SUM(B16:B26),0)</f>
        <v>0</v>
      </c>
      <c r="I21" s="40" t="s">
        <v>277</v>
      </c>
    </row>
    <row r="22" spans="1:9" ht="15.75" customHeight="1" x14ac:dyDescent="0.45">
      <c r="A22" s="30" t="s">
        <v>165</v>
      </c>
      <c r="B22" s="30">
        <f>SUM(B16:B21)</f>
        <v>1793000</v>
      </c>
      <c r="C22" s="38">
        <f>IF(Assumptions!B10&gt;0,B22/Assumptions!B10,0)</f>
        <v>59766.666666666664</v>
      </c>
      <c r="D22" s="39">
        <f>IF(Assumptions!B9&gt;0,B22/Assumptions!B9,0)</f>
        <v>0.41335222196991267</v>
      </c>
      <c r="E22" s="29">
        <f>1</f>
        <v>1</v>
      </c>
    </row>
    <row r="24" spans="1:9" ht="15.75" customHeight="1" x14ac:dyDescent="0.45">
      <c r="A24" s="41" t="s">
        <v>278</v>
      </c>
      <c r="B24" s="41">
        <f>B12+B22</f>
        <v>25381700</v>
      </c>
      <c r="C24" s="38">
        <f>IF(Assumptions!B10&gt;0,B24/Assumptions!B10,0)</f>
        <v>846056.66666666663</v>
      </c>
      <c r="D24" s="39">
        <f>IF(Assumptions!B9&gt;0,B24/Assumptions!B9,0)</f>
        <v>5.8514122099128461</v>
      </c>
    </row>
    <row r="26" spans="1:9" ht="18" customHeight="1" x14ac:dyDescent="0.45">
      <c r="A26" s="3" t="s">
        <v>279</v>
      </c>
      <c r="B26" s="3"/>
      <c r="C26" s="3"/>
      <c r="D26" s="3"/>
      <c r="E26" s="3"/>
    </row>
    <row r="27" spans="1:9" ht="15.75" customHeight="1" x14ac:dyDescent="0.45">
      <c r="A27" s="26" t="s">
        <v>280</v>
      </c>
      <c r="B27" s="26" t="s">
        <v>251</v>
      </c>
      <c r="C27" s="26" t="s">
        <v>281</v>
      </c>
      <c r="D27" s="26" t="s">
        <v>282</v>
      </c>
      <c r="E27" s="26" t="s">
        <v>216</v>
      </c>
    </row>
    <row r="28" spans="1:9" ht="15.75" customHeight="1" x14ac:dyDescent="0.45">
      <c r="A28" s="36" t="s">
        <v>283</v>
      </c>
      <c r="B28" s="37">
        <f>Assumptions!B29</f>
        <v>1993000</v>
      </c>
      <c r="C28" s="24">
        <v>12000</v>
      </c>
      <c r="D28" s="39">
        <f>IF(C28&gt;0,B28/C28,0)</f>
        <v>166.08333333333334</v>
      </c>
      <c r="E28" s="38">
        <f>IF(Assumptions!B7&gt;0,B28/Assumptions!B7,0)</f>
        <v>14654.411764705883</v>
      </c>
    </row>
    <row r="29" spans="1:9" ht="15.75" customHeight="1" x14ac:dyDescent="0.45">
      <c r="A29" s="36" t="s">
        <v>284</v>
      </c>
      <c r="B29" s="37">
        <f>Assumptions!B30</f>
        <v>3432000</v>
      </c>
      <c r="C29" s="24">
        <v>9000</v>
      </c>
      <c r="D29" s="39">
        <f>IF(C29&gt;0,B29/C29,0)</f>
        <v>381.33333333333331</v>
      </c>
      <c r="E29" s="38">
        <f>IF(Assumptions!B7&gt;0,B29/Assumptions!B7,0)</f>
        <v>25235.294117647059</v>
      </c>
    </row>
    <row r="30" spans="1:9" ht="15.75" customHeight="1" x14ac:dyDescent="0.45">
      <c r="A30" s="36" t="s">
        <v>285</v>
      </c>
      <c r="B30" s="37">
        <f>Assumptions!B31</f>
        <v>12527000</v>
      </c>
      <c r="C30" s="24">
        <v>8000</v>
      </c>
      <c r="D30" s="39">
        <f>IF(C30&gt;0,B30/C30,0)</f>
        <v>1565.875</v>
      </c>
      <c r="E30" s="38">
        <f>IF(Assumptions!B7&gt;0,B30/Assumptions!B7,0)</f>
        <v>92110.294117647063</v>
      </c>
    </row>
    <row r="31" spans="1:9" ht="15.75" customHeight="1" x14ac:dyDescent="0.45">
      <c r="A31" s="36" t="s">
        <v>286</v>
      </c>
      <c r="B31" s="37">
        <f>Assumptions!B32</f>
        <v>5098000</v>
      </c>
      <c r="C31" s="24">
        <v>6000</v>
      </c>
      <c r="D31" s="39">
        <f>IF(C31&gt;0,B31/C31,0)</f>
        <v>849.66666666666663</v>
      </c>
      <c r="E31" s="38">
        <f>IF(Assumptions!B7&gt;0,B31/Assumptions!B7,0)</f>
        <v>37485.294117647056</v>
      </c>
    </row>
  </sheetData>
  <mergeCells count="5">
    <mergeCell ref="A1:I1"/>
    <mergeCell ref="A2:I2"/>
    <mergeCell ref="A4:I4"/>
    <mergeCell ref="A14:I14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showGridLines="0" zoomScaleNormal="100" workbookViewId="0">
      <selection sqref="A1:I1"/>
    </sheetView>
  </sheetViews>
  <sheetFormatPr defaultColWidth="8.6640625" defaultRowHeight="14.25" x14ac:dyDescent="0.45"/>
  <cols>
    <col min="1" max="1" width="34" customWidth="1"/>
    <col min="2" max="2" width="16" customWidth="1"/>
    <col min="3" max="3" width="12" customWidth="1"/>
    <col min="4" max="4" width="6" customWidth="1"/>
    <col min="5" max="5" width="34" customWidth="1"/>
    <col min="6" max="6" width="16" customWidth="1"/>
    <col min="7" max="7" width="12" customWidth="1"/>
  </cols>
  <sheetData>
    <row r="1" spans="1:9" ht="30" customHeight="1" x14ac:dyDescent="0.45">
      <c r="A1" s="5" t="s">
        <v>287</v>
      </c>
      <c r="B1" s="5"/>
      <c r="C1" s="5"/>
      <c r="D1" s="5"/>
      <c r="E1" s="5"/>
      <c r="F1" s="5"/>
      <c r="G1" s="5"/>
      <c r="H1" s="5"/>
      <c r="I1" s="5"/>
    </row>
    <row r="2" spans="1:9" ht="15.75" customHeight="1" x14ac:dyDescent="0.45">
      <c r="A2" s="4" t="s">
        <v>288</v>
      </c>
      <c r="B2" s="4"/>
      <c r="C2" s="4"/>
      <c r="D2" s="4"/>
      <c r="E2" s="4"/>
      <c r="F2" s="4"/>
      <c r="G2" s="4"/>
      <c r="H2" s="4"/>
      <c r="I2" s="4"/>
    </row>
    <row r="4" spans="1:9" ht="18" customHeight="1" x14ac:dyDescent="0.45">
      <c r="A4" s="2" t="s">
        <v>289</v>
      </c>
      <c r="B4" s="2"/>
      <c r="C4" s="2"/>
      <c r="E4" s="2" t="s">
        <v>290</v>
      </c>
      <c r="F4" s="2"/>
      <c r="G4" s="2"/>
    </row>
    <row r="5" spans="1:9" ht="15.75" customHeight="1" x14ac:dyDescent="0.45">
      <c r="A5" s="26" t="s">
        <v>291</v>
      </c>
      <c r="B5" s="26" t="s">
        <v>292</v>
      </c>
      <c r="C5" s="26" t="s">
        <v>132</v>
      </c>
      <c r="E5" s="26" t="s">
        <v>293</v>
      </c>
      <c r="F5" s="26" t="s">
        <v>292</v>
      </c>
      <c r="G5" s="26" t="s">
        <v>132</v>
      </c>
    </row>
    <row r="6" spans="1:9" ht="18" customHeight="1" x14ac:dyDescent="0.45">
      <c r="A6" s="3" t="s">
        <v>294</v>
      </c>
      <c r="B6" s="3"/>
      <c r="C6" s="3"/>
      <c r="E6" s="3" t="s">
        <v>295</v>
      </c>
      <c r="F6" s="3"/>
      <c r="G6" s="3"/>
    </row>
    <row r="7" spans="1:9" ht="15.75" customHeight="1" x14ac:dyDescent="0.45">
      <c r="A7" s="36" t="s">
        <v>296</v>
      </c>
      <c r="B7" s="37">
        <f>Assumptions!B56</f>
        <v>11387289</v>
      </c>
      <c r="C7" s="29">
        <f>IF(B30&gt;0,B7/B30,0)</f>
        <v>0.2992013285074166</v>
      </c>
      <c r="E7" s="36" t="s">
        <v>297</v>
      </c>
      <c r="F7" s="37">
        <f>Assumptions!B56</f>
        <v>11387289</v>
      </c>
      <c r="G7" s="40" t="s">
        <v>298</v>
      </c>
    </row>
    <row r="8" spans="1:9" ht="15.75" customHeight="1" x14ac:dyDescent="0.45">
      <c r="A8" s="3" t="s">
        <v>96</v>
      </c>
      <c r="B8" s="3"/>
      <c r="C8" s="3"/>
      <c r="E8" s="36" t="s">
        <v>299</v>
      </c>
      <c r="F8" s="28">
        <v>0</v>
      </c>
      <c r="G8" s="40" t="s">
        <v>300</v>
      </c>
    </row>
    <row r="9" spans="1:9" ht="18" customHeight="1" x14ac:dyDescent="0.45">
      <c r="A9" s="36" t="s">
        <v>301</v>
      </c>
      <c r="B9" s="37">
        <f>Assumptions!B29</f>
        <v>1993000</v>
      </c>
      <c r="C9" s="29">
        <f>IF(B30&gt;0,B9/B30,0)</f>
        <v>5.2366129261783141E-2</v>
      </c>
      <c r="E9" s="30" t="s">
        <v>302</v>
      </c>
      <c r="F9" s="30">
        <f>Assumptions!B56</f>
        <v>11387289</v>
      </c>
    </row>
    <row r="10" spans="1:9" ht="18" customHeight="1" x14ac:dyDescent="0.45">
      <c r="A10" s="36" t="s">
        <v>303</v>
      </c>
      <c r="B10" s="37">
        <f>Assumptions!B30</f>
        <v>3432000</v>
      </c>
      <c r="C10" s="29">
        <f>IF(B30&gt;0,B10/B30,0)</f>
        <v>9.0175893440260779E-2</v>
      </c>
      <c r="E10" s="3" t="s">
        <v>304</v>
      </c>
      <c r="F10" s="3"/>
      <c r="G10" s="3"/>
    </row>
    <row r="11" spans="1:9" ht="15.75" customHeight="1" x14ac:dyDescent="0.45">
      <c r="A11" s="36" t="s">
        <v>305</v>
      </c>
      <c r="B11" s="37">
        <f>Assumptions!B31</f>
        <v>12527000</v>
      </c>
      <c r="C11" s="29">
        <f>IF(B30&gt;0,B11/B30,0)</f>
        <v>0.32914726606239708</v>
      </c>
      <c r="E11" s="36" t="s">
        <v>306</v>
      </c>
      <c r="F11" s="37">
        <f>Assumptions!B43*0.5</f>
        <v>11700000</v>
      </c>
      <c r="G11" s="40" t="s">
        <v>307</v>
      </c>
    </row>
    <row r="12" spans="1:9" ht="15.75" customHeight="1" x14ac:dyDescent="0.45">
      <c r="A12" s="36" t="s">
        <v>308</v>
      </c>
      <c r="B12" s="37">
        <f>Assumptions!B32</f>
        <v>5098000</v>
      </c>
      <c r="C12" s="29">
        <f>IF(B30&gt;0,B12/B30,0)</f>
        <v>0.13395008879908202</v>
      </c>
      <c r="E12" s="36" t="s">
        <v>309</v>
      </c>
      <c r="F12" s="37">
        <f>Assumptions!B43*0.5</f>
        <v>11700000</v>
      </c>
      <c r="G12" s="40" t="s">
        <v>310</v>
      </c>
    </row>
    <row r="13" spans="1:9" ht="18" customHeight="1" x14ac:dyDescent="0.45">
      <c r="A13" s="36" t="s">
        <v>311</v>
      </c>
      <c r="B13" s="37">
        <f>Assumptions!B33</f>
        <v>262000</v>
      </c>
      <c r="C13" s="29">
        <f>IF(B30&gt;0,B13/B30,0)</f>
        <v>6.8840571332600018E-3</v>
      </c>
      <c r="E13" s="30" t="s">
        <v>312</v>
      </c>
      <c r="F13" s="30">
        <f>Assumptions!B43</f>
        <v>23400000</v>
      </c>
      <c r="G13" s="40" t="s">
        <v>313</v>
      </c>
    </row>
    <row r="14" spans="1:9" ht="18" customHeight="1" x14ac:dyDescent="0.45">
      <c r="A14" s="36" t="s">
        <v>314</v>
      </c>
      <c r="B14" s="37">
        <f>Assumptions!B34</f>
        <v>276700</v>
      </c>
      <c r="C14" s="29">
        <f>IF(B30&gt;0,B14/B30,0)</f>
        <v>7.2703000334848949E-3</v>
      </c>
      <c r="E14" s="3" t="s">
        <v>112</v>
      </c>
      <c r="F14" s="3"/>
      <c r="G14" s="3"/>
    </row>
    <row r="15" spans="1:9" ht="15.75" customHeight="1" x14ac:dyDescent="0.45">
      <c r="A15" s="30" t="s">
        <v>315</v>
      </c>
      <c r="B15" s="30">
        <f>Assumptions!B35</f>
        <v>23588700</v>
      </c>
      <c r="C15" s="29">
        <f>IF(B44&gt;0,B15/B44,0)</f>
        <v>0</v>
      </c>
      <c r="E15" s="36" t="s">
        <v>316</v>
      </c>
      <c r="F15" s="37">
        <f>Assumptions!B52</f>
        <v>671535</v>
      </c>
      <c r="G15" s="40" t="s">
        <v>317</v>
      </c>
    </row>
    <row r="16" spans="1:9" ht="15.75" customHeight="1" x14ac:dyDescent="0.45">
      <c r="A16" s="3" t="s">
        <v>104</v>
      </c>
      <c r="B16" s="3"/>
      <c r="C16" s="3"/>
      <c r="E16" s="36" t="s">
        <v>318</v>
      </c>
      <c r="F16" s="37">
        <f>Assumptions!E17*(1-Assumptions!B60)</f>
        <v>37814819.519999996</v>
      </c>
      <c r="G16" s="40" t="s">
        <v>319</v>
      </c>
    </row>
    <row r="17" spans="1:7" ht="18" customHeight="1" x14ac:dyDescent="0.45">
      <c r="A17" s="36" t="s">
        <v>320</v>
      </c>
      <c r="B17" s="37">
        <f>Assumptions!B38</f>
        <v>1320000</v>
      </c>
      <c r="C17" s="29">
        <f>IF(B30&gt;0,B17/B30,0)</f>
        <v>3.468303593856184E-2</v>
      </c>
      <c r="E17" s="30" t="s">
        <v>321</v>
      </c>
      <c r="F17" s="30">
        <f>Assumptions!E17*(1-Assumptions!B60)</f>
        <v>37814819.519999996</v>
      </c>
    </row>
    <row r="18" spans="1:7" ht="18" customHeight="1" x14ac:dyDescent="0.45">
      <c r="A18" s="36" t="s">
        <v>322</v>
      </c>
      <c r="B18" s="37">
        <f>Assumptions!B39</f>
        <v>83000</v>
      </c>
      <c r="C18" s="29">
        <f>IF(B30&gt;0,B18/B30,0)</f>
        <v>2.1808272597732066E-3</v>
      </c>
      <c r="E18" s="3" t="s">
        <v>323</v>
      </c>
      <c r="F18" s="3"/>
      <c r="G18" s="3"/>
    </row>
    <row r="19" spans="1:7" ht="15.75" customHeight="1" x14ac:dyDescent="0.45">
      <c r="A19" s="30" t="s">
        <v>324</v>
      </c>
      <c r="B19" s="30">
        <f>Assumptions!B40</f>
        <v>1403000</v>
      </c>
      <c r="C19" s="29">
        <f>IF(B48&gt;0,B19/B48,0)</f>
        <v>0</v>
      </c>
      <c r="E19" s="36" t="s">
        <v>325</v>
      </c>
      <c r="F19" s="37">
        <f>Assumptions!E17*(1-Assumptions!B60)</f>
        <v>37814819.519999996</v>
      </c>
    </row>
    <row r="20" spans="1:7" ht="15.75" customHeight="1" x14ac:dyDescent="0.45">
      <c r="A20" s="3" t="s">
        <v>326</v>
      </c>
      <c r="B20" s="3"/>
      <c r="C20" s="3"/>
      <c r="E20" s="36" t="s">
        <v>327</v>
      </c>
      <c r="F20" s="37">
        <f>Assumptions!B43</f>
        <v>23400000</v>
      </c>
      <c r="G20" s="40" t="s">
        <v>328</v>
      </c>
    </row>
    <row r="21" spans="1:7" ht="18" customHeight="1" x14ac:dyDescent="0.45">
      <c r="A21" s="36" t="s">
        <v>329</v>
      </c>
      <c r="B21" s="37">
        <f>'Dev Budget'!B19</f>
        <v>1249585</v>
      </c>
      <c r="C21" s="29">
        <f>IF(B30&gt;0,B21/B30,0)</f>
        <v>3.2832879896430148E-2</v>
      </c>
      <c r="E21" s="30" t="s">
        <v>330</v>
      </c>
      <c r="F21" s="30">
        <f>Assumptions!E17*(1-Assumptions!B60)+Assumptions!B43</f>
        <v>61214819.519999996</v>
      </c>
    </row>
    <row r="22" spans="1:7" ht="18" customHeight="1" x14ac:dyDescent="0.45">
      <c r="A22" s="3" t="s">
        <v>331</v>
      </c>
      <c r="B22" s="3"/>
      <c r="C22" s="3"/>
    </row>
    <row r="23" spans="1:7" ht="15.75" customHeight="1" x14ac:dyDescent="0.45">
      <c r="A23" s="36" t="s">
        <v>332</v>
      </c>
      <c r="B23" s="37">
        <f>Assumptions!B49</f>
        <v>6700</v>
      </c>
      <c r="C23" s="29">
        <f>IF(B30&gt;0,B23/B30,0)</f>
        <v>1.7604268241542753E-4</v>
      </c>
    </row>
    <row r="24" spans="1:7" ht="15.75" customHeight="1" x14ac:dyDescent="0.45">
      <c r="A24" s="36" t="s">
        <v>333</v>
      </c>
      <c r="B24" s="37">
        <f>Assumptions!B50</f>
        <v>6700</v>
      </c>
      <c r="C24" s="29">
        <f>IF(B30&gt;0,B24/B30,0)</f>
        <v>1.7604268241542753E-4</v>
      </c>
    </row>
    <row r="25" spans="1:7" ht="15.75" customHeight="1" x14ac:dyDescent="0.45">
      <c r="A25" s="36" t="s">
        <v>334</v>
      </c>
      <c r="B25" s="37">
        <f>Assumptions!B53</f>
        <v>25800</v>
      </c>
      <c r="C25" s="29">
        <f>IF(B30&gt;0,B25/B30,0)</f>
        <v>6.7789570243552682E-4</v>
      </c>
    </row>
    <row r="26" spans="1:7" ht="15.75" customHeight="1" x14ac:dyDescent="0.45">
      <c r="A26" s="36" t="s">
        <v>335</v>
      </c>
      <c r="B26" s="37">
        <f>Assumptions!B44</f>
        <v>240000</v>
      </c>
      <c r="C26" s="29">
        <f>IF(B30&gt;0,B26/B30,0)</f>
        <v>6.3060065342839706E-3</v>
      </c>
    </row>
    <row r="27" spans="1:7" ht="15.75" customHeight="1" x14ac:dyDescent="0.45">
      <c r="A27" s="36" t="s">
        <v>336</v>
      </c>
      <c r="B27" s="37">
        <f>Assumptions!B45</f>
        <v>150000</v>
      </c>
      <c r="C27" s="29">
        <f>IF(B30&gt;0,B27/B30,0)</f>
        <v>3.9412540839274821E-3</v>
      </c>
    </row>
    <row r="28" spans="1:7" ht="15.75" customHeight="1" x14ac:dyDescent="0.45">
      <c r="A28" s="36" t="s">
        <v>337</v>
      </c>
      <c r="B28" s="37">
        <f>Assumptions!B51</f>
        <v>1178</v>
      </c>
      <c r="C28" s="29">
        <f>IF(B30&gt;0,B28/B30,0)</f>
        <v>3.0951982072443823E-5</v>
      </c>
    </row>
    <row r="29" spans="1:7" ht="15.75" customHeight="1" x14ac:dyDescent="0.45">
      <c r="A29" s="30" t="s">
        <v>338</v>
      </c>
      <c r="B29" s="30">
        <f>'Dev Budget'!B27</f>
        <v>430378</v>
      </c>
      <c r="C29" s="29">
        <f>IF(B58&gt;0,B29/B58,0)</f>
        <v>0</v>
      </c>
    </row>
    <row r="30" spans="1:7" ht="15.75" customHeight="1" x14ac:dyDescent="0.45">
      <c r="A30" s="41" t="s">
        <v>339</v>
      </c>
      <c r="B30" s="41">
        <f>'Dev Budget'!B30</f>
        <v>38058952</v>
      </c>
      <c r="C30" s="29">
        <f>1</f>
        <v>1</v>
      </c>
    </row>
    <row r="33" spans="1:9" ht="18" customHeight="1" x14ac:dyDescent="0.45">
      <c r="A33" s="3" t="s">
        <v>340</v>
      </c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45">
      <c r="A34" s="36" t="s">
        <v>341</v>
      </c>
      <c r="B34" s="37">
        <f>'Dev Budget'!B30</f>
        <v>38058952</v>
      </c>
    </row>
    <row r="35" spans="1:9" ht="15.75" customHeight="1" x14ac:dyDescent="0.45">
      <c r="A35" s="36" t="s">
        <v>342</v>
      </c>
      <c r="B35" s="37">
        <f>Assumptions!B43+Assumptions!B56</f>
        <v>34787289</v>
      </c>
    </row>
    <row r="36" spans="1:9" ht="15.75" customHeight="1" x14ac:dyDescent="0.45">
      <c r="A36" s="36" t="s">
        <v>343</v>
      </c>
      <c r="B36" s="37">
        <f>Assumptions!E17*(1-Assumptions!B60)</f>
        <v>37814819.519999996</v>
      </c>
    </row>
    <row r="37" spans="1:9" ht="15.75" customHeight="1" x14ac:dyDescent="0.45">
      <c r="A37" s="36" t="s">
        <v>344</v>
      </c>
      <c r="B37" s="37">
        <f>Assumptions!B43+Assumptions!B56+Assumptions!E17*(1-Assumptions!B60)</f>
        <v>72602108.519999996</v>
      </c>
    </row>
    <row r="38" spans="1:9" ht="15.75" customHeight="1" x14ac:dyDescent="0.45">
      <c r="A38" s="36" t="s">
        <v>345</v>
      </c>
      <c r="B38" s="37">
        <f>Assumptions!E17*(1-Assumptions!B60)+Assumptions!B43-'Dev Budget'!B30</f>
        <v>23155867.519999996</v>
      </c>
      <c r="C38" s="40" t="s">
        <v>346</v>
      </c>
    </row>
    <row r="39" spans="1:9" ht="15.75" customHeight="1" x14ac:dyDescent="0.45">
      <c r="A39" s="36" t="s">
        <v>347</v>
      </c>
      <c r="B39" s="44">
        <f>Assumptions!B43/Assumptions!B35</f>
        <v>0.99200040697452596</v>
      </c>
    </row>
    <row r="40" spans="1:9" ht="15.75" customHeight="1" x14ac:dyDescent="0.45">
      <c r="A40" s="36" t="s">
        <v>348</v>
      </c>
      <c r="B40" s="44">
        <f>Assumptions!B56/'Dev Budget'!B30</f>
        <v>0.2992013285074166</v>
      </c>
    </row>
    <row r="41" spans="1:9" ht="15.75" customHeight="1" x14ac:dyDescent="0.45">
      <c r="A41" s="36" t="s">
        <v>349</v>
      </c>
      <c r="B41" s="44">
        <f>Assumptions!B52/'Dev Budget'!B30</f>
        <v>1.7644600408334942E-2</v>
      </c>
    </row>
    <row r="42" spans="1:9" ht="15.75" customHeight="1" x14ac:dyDescent="0.45">
      <c r="A42" s="36" t="s">
        <v>350</v>
      </c>
      <c r="B42" s="45">
        <f>('Dev Budget'!B30-Assumptions!B43)/(Assumptions!B9*(1-Assumptions!B60))</f>
        <v>3.5202351627569572</v>
      </c>
    </row>
  </sheetData>
  <mergeCells count="14">
    <mergeCell ref="A20:C20"/>
    <mergeCell ref="A22:C22"/>
    <mergeCell ref="A33:I33"/>
    <mergeCell ref="A8:C8"/>
    <mergeCell ref="E10:G10"/>
    <mergeCell ref="E14:G14"/>
    <mergeCell ref="A16:C16"/>
    <mergeCell ref="E18:G18"/>
    <mergeCell ref="A1:I1"/>
    <mergeCell ref="A2:I2"/>
    <mergeCell ref="A4:C4"/>
    <mergeCell ref="E4:G4"/>
    <mergeCell ref="A6:C6"/>
    <mergeCell ref="E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BC1"/>
    </sheetView>
  </sheetViews>
  <sheetFormatPr defaultColWidth="8.6640625" defaultRowHeight="14.25" x14ac:dyDescent="0.45"/>
  <cols>
    <col min="1" max="1" width="32" customWidth="1"/>
    <col min="2" max="52" width="10" customWidth="1"/>
    <col min="53" max="53" width="14" customWidth="1"/>
  </cols>
  <sheetData>
    <row r="1" spans="1:55" ht="30" customHeight="1" x14ac:dyDescent="0.45">
      <c r="A1" s="5" t="s">
        <v>351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spans="1:55" ht="15.75" customHeight="1" x14ac:dyDescent="0.45">
      <c r="A2" s="4" t="s">
        <v>352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4" spans="1:55" ht="15.75" customHeight="1" x14ac:dyDescent="0.45">
      <c r="A4" s="26" t="s">
        <v>353</v>
      </c>
      <c r="B4" s="26" t="s">
        <v>354</v>
      </c>
      <c r="C4" s="26" t="s">
        <v>355</v>
      </c>
      <c r="D4" s="26" t="s">
        <v>356</v>
      </c>
      <c r="E4" s="26" t="s">
        <v>357</v>
      </c>
      <c r="F4" s="26" t="s">
        <v>358</v>
      </c>
      <c r="G4" s="26" t="s">
        <v>359</v>
      </c>
      <c r="H4" s="26" t="s">
        <v>360</v>
      </c>
      <c r="I4" s="26" t="s">
        <v>361</v>
      </c>
      <c r="J4" s="26" t="s">
        <v>362</v>
      </c>
      <c r="K4" s="26" t="s">
        <v>363</v>
      </c>
      <c r="L4" s="26" t="s">
        <v>364</v>
      </c>
      <c r="M4" s="26" t="s">
        <v>365</v>
      </c>
      <c r="N4" s="26" t="s">
        <v>366</v>
      </c>
      <c r="O4" s="26" t="s">
        <v>367</v>
      </c>
      <c r="P4" s="26" t="s">
        <v>368</v>
      </c>
      <c r="Q4" s="26" t="s">
        <v>369</v>
      </c>
      <c r="R4" s="26" t="s">
        <v>370</v>
      </c>
      <c r="S4" s="26" t="s">
        <v>371</v>
      </c>
      <c r="T4" s="26" t="s">
        <v>372</v>
      </c>
      <c r="U4" s="26" t="s">
        <v>373</v>
      </c>
      <c r="V4" s="26" t="s">
        <v>374</v>
      </c>
      <c r="W4" s="26" t="s">
        <v>375</v>
      </c>
      <c r="X4" s="26" t="s">
        <v>376</v>
      </c>
      <c r="Y4" s="26" t="s">
        <v>377</v>
      </c>
      <c r="Z4" s="26" t="s">
        <v>378</v>
      </c>
      <c r="AA4" s="26" t="s">
        <v>379</v>
      </c>
      <c r="AB4" s="26" t="s">
        <v>380</v>
      </c>
      <c r="AC4" s="26" t="s">
        <v>381</v>
      </c>
      <c r="AD4" s="26" t="s">
        <v>382</v>
      </c>
      <c r="AE4" s="26" t="s">
        <v>383</v>
      </c>
      <c r="AF4" s="26" t="s">
        <v>384</v>
      </c>
      <c r="AG4" s="26" t="s">
        <v>385</v>
      </c>
      <c r="AH4" s="26" t="s">
        <v>386</v>
      </c>
      <c r="AI4" s="26" t="s">
        <v>387</v>
      </c>
      <c r="AJ4" s="26" t="s">
        <v>388</v>
      </c>
      <c r="AK4" s="26" t="s">
        <v>389</v>
      </c>
      <c r="AL4" s="26" t="s">
        <v>390</v>
      </c>
      <c r="AM4" s="26" t="s">
        <v>391</v>
      </c>
      <c r="AN4" s="26" t="s">
        <v>392</v>
      </c>
      <c r="AO4" s="26" t="s">
        <v>393</v>
      </c>
      <c r="AP4" s="26" t="s">
        <v>394</v>
      </c>
      <c r="AQ4" s="26" t="s">
        <v>395</v>
      </c>
      <c r="AR4" s="26" t="s">
        <v>396</v>
      </c>
      <c r="AS4" s="26" t="s">
        <v>397</v>
      </c>
      <c r="AT4" s="26" t="s">
        <v>398</v>
      </c>
      <c r="AU4" s="26" t="s">
        <v>399</v>
      </c>
      <c r="AV4" s="26" t="s">
        <v>400</v>
      </c>
      <c r="AW4" s="26" t="s">
        <v>401</v>
      </c>
      <c r="AX4" s="26" t="s">
        <v>402</v>
      </c>
      <c r="AY4" s="26" t="s">
        <v>403</v>
      </c>
      <c r="AZ4" s="26" t="s">
        <v>219</v>
      </c>
    </row>
    <row r="5" spans="1:55" ht="18" customHeight="1" x14ac:dyDescent="0.45">
      <c r="A5" s="15" t="s">
        <v>404</v>
      </c>
    </row>
    <row r="6" spans="1:55" ht="15" customHeight="1" x14ac:dyDescent="0.45">
      <c r="A6" s="48" t="s">
        <v>97</v>
      </c>
      <c r="B6" s="49">
        <f>Assumptions!B29/12</f>
        <v>166083.33333333334</v>
      </c>
      <c r="C6" s="49">
        <f>Assumptions!B29/12</f>
        <v>166083.33333333334</v>
      </c>
      <c r="D6" s="49">
        <f>Assumptions!B29/12</f>
        <v>166083.33333333334</v>
      </c>
      <c r="E6" s="49">
        <f>Assumptions!B29/12</f>
        <v>166083.33333333334</v>
      </c>
      <c r="F6" s="49">
        <f>Assumptions!B29/12</f>
        <v>166083.33333333334</v>
      </c>
      <c r="G6" s="49">
        <f>Assumptions!B29/12</f>
        <v>166083.33333333334</v>
      </c>
      <c r="H6" s="49">
        <f>Assumptions!B29/12</f>
        <v>166083.33333333334</v>
      </c>
      <c r="I6" s="49">
        <f>Assumptions!B29/12</f>
        <v>166083.33333333334</v>
      </c>
      <c r="J6" s="49">
        <f>Assumptions!B29/12</f>
        <v>166083.33333333334</v>
      </c>
      <c r="K6" s="49">
        <f>Assumptions!B29/12</f>
        <v>166083.33333333334</v>
      </c>
      <c r="L6" s="49">
        <f>Assumptions!B29/12</f>
        <v>166083.33333333334</v>
      </c>
      <c r="M6" s="49">
        <f>Assumptions!B29/12</f>
        <v>166083.33333333334</v>
      </c>
      <c r="N6" s="49">
        <v>0</v>
      </c>
      <c r="O6" s="49">
        <v>0</v>
      </c>
      <c r="P6" s="49">
        <v>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0</v>
      </c>
      <c r="W6" s="49">
        <v>0</v>
      </c>
      <c r="X6" s="49">
        <v>0</v>
      </c>
      <c r="Y6" s="49">
        <v>0</v>
      </c>
      <c r="Z6" s="49">
        <v>0</v>
      </c>
      <c r="AA6" s="49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0</v>
      </c>
      <c r="AH6" s="49">
        <v>0</v>
      </c>
      <c r="AI6" s="49">
        <v>0</v>
      </c>
      <c r="AJ6" s="49">
        <v>0</v>
      </c>
      <c r="AK6" s="49"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50">
        <f t="shared" ref="AZ6:AZ11" si="0">SUM(B6:AY6)</f>
        <v>1992999.9999999998</v>
      </c>
    </row>
    <row r="7" spans="1:55" ht="15" customHeight="1" x14ac:dyDescent="0.45">
      <c r="A7" s="48" t="s">
        <v>98</v>
      </c>
      <c r="B7" s="49">
        <v>0</v>
      </c>
      <c r="C7" s="49">
        <f>Assumptions!B30/17</f>
        <v>201882.35294117648</v>
      </c>
      <c r="D7" s="49">
        <f>Assumptions!B30/17</f>
        <v>201882.35294117648</v>
      </c>
      <c r="E7" s="49">
        <f>Assumptions!B30/17</f>
        <v>201882.35294117648</v>
      </c>
      <c r="F7" s="49">
        <f>Assumptions!B30/17</f>
        <v>201882.35294117648</v>
      </c>
      <c r="G7" s="49">
        <f>Assumptions!B30/17</f>
        <v>201882.35294117648</v>
      </c>
      <c r="H7" s="49">
        <f>Assumptions!B30/17</f>
        <v>201882.35294117648</v>
      </c>
      <c r="I7" s="49">
        <f>Assumptions!B30/17</f>
        <v>201882.35294117648</v>
      </c>
      <c r="J7" s="49">
        <f>Assumptions!B30/17</f>
        <v>201882.35294117648</v>
      </c>
      <c r="K7" s="49">
        <f>Assumptions!B30/17</f>
        <v>201882.35294117648</v>
      </c>
      <c r="L7" s="49">
        <f>Assumptions!B30/17</f>
        <v>201882.35294117648</v>
      </c>
      <c r="M7" s="49">
        <f>Assumptions!B30/17</f>
        <v>201882.35294117648</v>
      </c>
      <c r="N7" s="49">
        <f>Assumptions!B30/17</f>
        <v>201882.35294117648</v>
      </c>
      <c r="O7" s="49">
        <f>Assumptions!B30/17</f>
        <v>201882.35294117648</v>
      </c>
      <c r="P7" s="49">
        <f>Assumptions!B30/17</f>
        <v>201882.35294117648</v>
      </c>
      <c r="Q7" s="49">
        <f>Assumptions!B30/17</f>
        <v>201882.35294117648</v>
      </c>
      <c r="R7" s="49">
        <f>Assumptions!B30/17</f>
        <v>201882.35294117648</v>
      </c>
      <c r="S7" s="49">
        <f>Assumptions!B30/17</f>
        <v>201882.35294117648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</v>
      </c>
      <c r="AI7" s="49">
        <v>0</v>
      </c>
      <c r="AJ7" s="49">
        <v>0</v>
      </c>
      <c r="AK7" s="49">
        <v>0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0</v>
      </c>
      <c r="AU7" s="49">
        <v>0</v>
      </c>
      <c r="AV7" s="49">
        <v>0</v>
      </c>
      <c r="AW7" s="49">
        <v>0</v>
      </c>
      <c r="AX7" s="49">
        <v>0</v>
      </c>
      <c r="AY7" s="49">
        <v>0</v>
      </c>
      <c r="AZ7" s="50">
        <f t="shared" si="0"/>
        <v>3431999.9999999991</v>
      </c>
    </row>
    <row r="8" spans="1:55" ht="15" customHeight="1" x14ac:dyDescent="0.45">
      <c r="A8" s="48" t="s">
        <v>148</v>
      </c>
      <c r="B8" s="49">
        <f>Assumptions!B31/24</f>
        <v>521958.33333333331</v>
      </c>
      <c r="C8" s="49">
        <f>Assumptions!B31/24</f>
        <v>521958.33333333331</v>
      </c>
      <c r="D8" s="49">
        <f>Assumptions!B31/24</f>
        <v>521958.33333333331</v>
      </c>
      <c r="E8" s="49">
        <f>Assumptions!B31/24</f>
        <v>521958.33333333331</v>
      </c>
      <c r="F8" s="49">
        <f>Assumptions!B31/24</f>
        <v>521958.33333333331</v>
      </c>
      <c r="G8" s="49">
        <f>Assumptions!B31/24</f>
        <v>521958.33333333331</v>
      </c>
      <c r="H8" s="49">
        <f>Assumptions!B31/24</f>
        <v>521958.33333333331</v>
      </c>
      <c r="I8" s="49">
        <f>Assumptions!B31/24</f>
        <v>521958.33333333331</v>
      </c>
      <c r="J8" s="49">
        <f>Assumptions!B31/24</f>
        <v>521958.33333333331</v>
      </c>
      <c r="K8" s="49">
        <f>Assumptions!B31/24</f>
        <v>521958.33333333331</v>
      </c>
      <c r="L8" s="49">
        <f>Assumptions!B31/24</f>
        <v>521958.33333333331</v>
      </c>
      <c r="M8" s="49">
        <f>Assumptions!B31/24</f>
        <v>521958.33333333331</v>
      </c>
      <c r="N8" s="49">
        <f>Assumptions!B31/24</f>
        <v>521958.33333333331</v>
      </c>
      <c r="O8" s="49">
        <f>Assumptions!B31/24</f>
        <v>521958.33333333331</v>
      </c>
      <c r="P8" s="49">
        <f>Assumptions!B31/24</f>
        <v>521958.33333333331</v>
      </c>
      <c r="Q8" s="49">
        <f>Assumptions!B31/24</f>
        <v>521958.33333333331</v>
      </c>
      <c r="R8" s="49">
        <f>Assumptions!B31/24</f>
        <v>521958.33333333331</v>
      </c>
      <c r="S8" s="49">
        <f>Assumptions!B31/24</f>
        <v>521958.33333333331</v>
      </c>
      <c r="T8" s="49">
        <f>Assumptions!B31/24</f>
        <v>521958.33333333331</v>
      </c>
      <c r="U8" s="49">
        <f>Assumptions!B31/24</f>
        <v>521958.33333333331</v>
      </c>
      <c r="V8" s="49">
        <f>Assumptions!B31/24</f>
        <v>521958.33333333331</v>
      </c>
      <c r="W8" s="49">
        <f>Assumptions!B31/24</f>
        <v>521958.33333333331</v>
      </c>
      <c r="X8" s="49">
        <f>Assumptions!B31/24</f>
        <v>521958.33333333331</v>
      </c>
      <c r="Y8" s="49">
        <f>Assumptions!B31/24</f>
        <v>521958.33333333331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9">
        <v>0</v>
      </c>
      <c r="AJ8" s="49">
        <v>0</v>
      </c>
      <c r="AK8" s="49">
        <v>0</v>
      </c>
      <c r="AL8" s="49">
        <v>0</v>
      </c>
      <c r="AM8" s="49">
        <v>0</v>
      </c>
      <c r="AN8" s="49">
        <v>0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49">
        <v>0</v>
      </c>
      <c r="AX8" s="49">
        <v>0</v>
      </c>
      <c r="AY8" s="49">
        <v>0</v>
      </c>
      <c r="AZ8" s="50">
        <f t="shared" si="0"/>
        <v>12527000.000000002</v>
      </c>
    </row>
    <row r="9" spans="1:55" ht="15" customHeight="1" x14ac:dyDescent="0.45">
      <c r="A9" s="48" t="s">
        <v>150</v>
      </c>
      <c r="B9" s="49">
        <v>0</v>
      </c>
      <c r="C9" s="49">
        <v>0</v>
      </c>
      <c r="D9" s="49">
        <v>0</v>
      </c>
      <c r="E9" s="49">
        <v>0</v>
      </c>
      <c r="F9" s="49">
        <v>0</v>
      </c>
      <c r="G9" s="49">
        <f>Assumptions!B32/25</f>
        <v>203920</v>
      </c>
      <c r="H9" s="49">
        <f>Assumptions!B32/25</f>
        <v>203920</v>
      </c>
      <c r="I9" s="49">
        <f>Assumptions!B32/25</f>
        <v>203920</v>
      </c>
      <c r="J9" s="49">
        <f>Assumptions!B32/25</f>
        <v>203920</v>
      </c>
      <c r="K9" s="49">
        <f>Assumptions!B32/25</f>
        <v>203920</v>
      </c>
      <c r="L9" s="49">
        <f>Assumptions!B32/25</f>
        <v>203920</v>
      </c>
      <c r="M9" s="49">
        <f>Assumptions!B32/25</f>
        <v>203920</v>
      </c>
      <c r="N9" s="49">
        <f>Assumptions!B32/25</f>
        <v>203920</v>
      </c>
      <c r="O9" s="49">
        <f>Assumptions!B32/25</f>
        <v>203920</v>
      </c>
      <c r="P9" s="49">
        <f>Assumptions!B32/25</f>
        <v>203920</v>
      </c>
      <c r="Q9" s="49">
        <f>Assumptions!B32/25</f>
        <v>203920</v>
      </c>
      <c r="R9" s="49">
        <f>Assumptions!B32/25</f>
        <v>203920</v>
      </c>
      <c r="S9" s="49">
        <f>Assumptions!B32/25</f>
        <v>203920</v>
      </c>
      <c r="T9" s="49">
        <f>Assumptions!B32/25</f>
        <v>203920</v>
      </c>
      <c r="U9" s="49">
        <f>Assumptions!B32/25</f>
        <v>203920</v>
      </c>
      <c r="V9" s="49">
        <f>Assumptions!B32/25</f>
        <v>203920</v>
      </c>
      <c r="W9" s="49">
        <f>Assumptions!B32/25</f>
        <v>203920</v>
      </c>
      <c r="X9" s="49">
        <f>Assumptions!B32/25</f>
        <v>203920</v>
      </c>
      <c r="Y9" s="49">
        <f>Assumptions!B32/25</f>
        <v>203920</v>
      </c>
      <c r="Z9" s="49">
        <f>Assumptions!B32/25</f>
        <v>203920</v>
      </c>
      <c r="AA9" s="49">
        <f>Assumptions!B32/25</f>
        <v>203920</v>
      </c>
      <c r="AB9" s="49">
        <f>Assumptions!B32/25</f>
        <v>203920</v>
      </c>
      <c r="AC9" s="49">
        <f>Assumptions!B32/25</f>
        <v>203920</v>
      </c>
      <c r="AD9" s="49">
        <f>Assumptions!B32/25</f>
        <v>203920</v>
      </c>
      <c r="AE9" s="49">
        <f>Assumptions!B32/25</f>
        <v>203920</v>
      </c>
      <c r="AF9" s="49">
        <v>0</v>
      </c>
      <c r="AG9" s="49">
        <v>0</v>
      </c>
      <c r="AH9" s="49">
        <v>0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0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0</v>
      </c>
      <c r="AX9" s="49">
        <v>0</v>
      </c>
      <c r="AY9" s="49">
        <v>0</v>
      </c>
      <c r="AZ9" s="50">
        <f t="shared" si="0"/>
        <v>5098000</v>
      </c>
    </row>
    <row r="10" spans="1:55" ht="15" customHeight="1" x14ac:dyDescent="0.45">
      <c r="A10" s="48" t="s">
        <v>101</v>
      </c>
      <c r="B10" s="49">
        <f>Assumptions!B33/48</f>
        <v>5458.333333333333</v>
      </c>
      <c r="C10" s="49">
        <f>Assumptions!B33/48</f>
        <v>5458.333333333333</v>
      </c>
      <c r="D10" s="49">
        <f>Assumptions!B33/48</f>
        <v>5458.333333333333</v>
      </c>
      <c r="E10" s="49">
        <f>Assumptions!B33/48</f>
        <v>5458.333333333333</v>
      </c>
      <c r="F10" s="49">
        <f>Assumptions!B33/48</f>
        <v>5458.333333333333</v>
      </c>
      <c r="G10" s="49">
        <f>Assumptions!B33/48</f>
        <v>5458.333333333333</v>
      </c>
      <c r="H10" s="49">
        <f>Assumptions!B33/48</f>
        <v>5458.333333333333</v>
      </c>
      <c r="I10" s="49">
        <f>Assumptions!B33/48</f>
        <v>5458.333333333333</v>
      </c>
      <c r="J10" s="49">
        <f>Assumptions!B33/48</f>
        <v>5458.333333333333</v>
      </c>
      <c r="K10" s="49">
        <f>Assumptions!B33/48</f>
        <v>5458.333333333333</v>
      </c>
      <c r="L10" s="49">
        <f>Assumptions!B33/48</f>
        <v>5458.333333333333</v>
      </c>
      <c r="M10" s="49">
        <f>Assumptions!B33/48</f>
        <v>5458.333333333333</v>
      </c>
      <c r="N10" s="49">
        <f>Assumptions!B33/48</f>
        <v>5458.333333333333</v>
      </c>
      <c r="O10" s="49">
        <f>Assumptions!B33/48</f>
        <v>5458.333333333333</v>
      </c>
      <c r="P10" s="49">
        <f>Assumptions!B33/48</f>
        <v>5458.333333333333</v>
      </c>
      <c r="Q10" s="49">
        <f>Assumptions!B33/48</f>
        <v>5458.333333333333</v>
      </c>
      <c r="R10" s="49">
        <f>Assumptions!B33/48</f>
        <v>5458.333333333333</v>
      </c>
      <c r="S10" s="49">
        <f>Assumptions!B33/48</f>
        <v>5458.333333333333</v>
      </c>
      <c r="T10" s="49">
        <f>Assumptions!B33/48</f>
        <v>5458.333333333333</v>
      </c>
      <c r="U10" s="49">
        <f>Assumptions!B33/48</f>
        <v>5458.333333333333</v>
      </c>
      <c r="V10" s="49">
        <f>Assumptions!B33/48</f>
        <v>5458.333333333333</v>
      </c>
      <c r="W10" s="49">
        <f>Assumptions!B33/48</f>
        <v>5458.333333333333</v>
      </c>
      <c r="X10" s="49">
        <f>Assumptions!B33/48</f>
        <v>5458.333333333333</v>
      </c>
      <c r="Y10" s="49">
        <f>Assumptions!B33/48</f>
        <v>5458.333333333333</v>
      </c>
      <c r="Z10" s="49">
        <f>Assumptions!B33/48</f>
        <v>5458.333333333333</v>
      </c>
      <c r="AA10" s="49">
        <f>Assumptions!B33/48</f>
        <v>5458.333333333333</v>
      </c>
      <c r="AB10" s="49">
        <f>Assumptions!B33/48</f>
        <v>5458.333333333333</v>
      </c>
      <c r="AC10" s="49">
        <f>Assumptions!B33/48</f>
        <v>5458.333333333333</v>
      </c>
      <c r="AD10" s="49">
        <f>Assumptions!B33/48</f>
        <v>5458.333333333333</v>
      </c>
      <c r="AE10" s="49">
        <f>Assumptions!B33/48</f>
        <v>5458.333333333333</v>
      </c>
      <c r="AF10" s="49">
        <f>Assumptions!B33/48</f>
        <v>5458.333333333333</v>
      </c>
      <c r="AG10" s="49">
        <f>Assumptions!B33/48</f>
        <v>5458.333333333333</v>
      </c>
      <c r="AH10" s="49">
        <f>Assumptions!B33/48</f>
        <v>5458.333333333333</v>
      </c>
      <c r="AI10" s="49">
        <f>Assumptions!B33/48</f>
        <v>5458.333333333333</v>
      </c>
      <c r="AJ10" s="49">
        <f>Assumptions!B33/48</f>
        <v>5458.333333333333</v>
      </c>
      <c r="AK10" s="49">
        <f>Assumptions!B33/48</f>
        <v>5458.333333333333</v>
      </c>
      <c r="AL10" s="49">
        <f>Assumptions!B33/48</f>
        <v>5458.333333333333</v>
      </c>
      <c r="AM10" s="49">
        <f>Assumptions!B33/48</f>
        <v>5458.333333333333</v>
      </c>
      <c r="AN10" s="49">
        <f>Assumptions!B33/48</f>
        <v>5458.333333333333</v>
      </c>
      <c r="AO10" s="49">
        <f>Assumptions!B33/48</f>
        <v>5458.333333333333</v>
      </c>
      <c r="AP10" s="49">
        <f>Assumptions!B33/48</f>
        <v>5458.333333333333</v>
      </c>
      <c r="AQ10" s="49">
        <f>Assumptions!B33/48</f>
        <v>5458.333333333333</v>
      </c>
      <c r="AR10" s="49">
        <f>Assumptions!B33/48</f>
        <v>5458.333333333333</v>
      </c>
      <c r="AS10" s="49">
        <f>Assumptions!B33/48</f>
        <v>5458.333333333333</v>
      </c>
      <c r="AT10" s="49">
        <f>Assumptions!B33/48</f>
        <v>5458.333333333333</v>
      </c>
      <c r="AU10" s="49">
        <f>Assumptions!B33/48</f>
        <v>5458.333333333333</v>
      </c>
      <c r="AV10" s="49">
        <f>Assumptions!B33/48</f>
        <v>5458.333333333333</v>
      </c>
      <c r="AW10" s="49">
        <f>Assumptions!B33/48</f>
        <v>5458.333333333333</v>
      </c>
      <c r="AX10" s="49">
        <v>0</v>
      </c>
      <c r="AY10" s="49">
        <v>0</v>
      </c>
      <c r="AZ10" s="50">
        <f t="shared" si="0"/>
        <v>262000.00000000017</v>
      </c>
    </row>
    <row r="11" spans="1:55" ht="15" customHeight="1" x14ac:dyDescent="0.45">
      <c r="A11" s="48" t="s">
        <v>405</v>
      </c>
      <c r="B11" s="49">
        <f>Assumptions!B34/50</f>
        <v>5534</v>
      </c>
      <c r="C11" s="49">
        <f>Assumptions!B34/50</f>
        <v>5534</v>
      </c>
      <c r="D11" s="49">
        <f>Assumptions!B34/50</f>
        <v>5534</v>
      </c>
      <c r="E11" s="49">
        <f>Assumptions!B34/50</f>
        <v>5534</v>
      </c>
      <c r="F11" s="49">
        <f>Assumptions!B34/50</f>
        <v>5534</v>
      </c>
      <c r="G11" s="49">
        <f>Assumptions!B34/50</f>
        <v>5534</v>
      </c>
      <c r="H11" s="49">
        <f>Assumptions!B34/50</f>
        <v>5534</v>
      </c>
      <c r="I11" s="49">
        <f>Assumptions!B34/50</f>
        <v>5534</v>
      </c>
      <c r="J11" s="49">
        <f>Assumptions!B34/50</f>
        <v>5534</v>
      </c>
      <c r="K11" s="49">
        <f>Assumptions!B34/50</f>
        <v>5534</v>
      </c>
      <c r="L11" s="49">
        <f>Assumptions!B34/50</f>
        <v>5534</v>
      </c>
      <c r="M11" s="49">
        <f>Assumptions!B34/50</f>
        <v>5534</v>
      </c>
      <c r="N11" s="49">
        <f>Assumptions!B34/50</f>
        <v>5534</v>
      </c>
      <c r="O11" s="49">
        <f>Assumptions!B34/50</f>
        <v>5534</v>
      </c>
      <c r="P11" s="49">
        <f>Assumptions!B34/50</f>
        <v>5534</v>
      </c>
      <c r="Q11" s="49">
        <f>Assumptions!B34/50</f>
        <v>5534</v>
      </c>
      <c r="R11" s="49">
        <f>Assumptions!B34/50</f>
        <v>5534</v>
      </c>
      <c r="S11" s="49">
        <f>Assumptions!B34/50</f>
        <v>5534</v>
      </c>
      <c r="T11" s="49">
        <f>Assumptions!B34/50</f>
        <v>5534</v>
      </c>
      <c r="U11" s="49">
        <f>Assumptions!B34/50</f>
        <v>5534</v>
      </c>
      <c r="V11" s="49">
        <f>Assumptions!B34/50</f>
        <v>5534</v>
      </c>
      <c r="W11" s="49">
        <f>Assumptions!B34/50</f>
        <v>5534</v>
      </c>
      <c r="X11" s="49">
        <f>Assumptions!B34/50</f>
        <v>5534</v>
      </c>
      <c r="Y11" s="49">
        <f>Assumptions!B34/50</f>
        <v>5534</v>
      </c>
      <c r="Z11" s="49">
        <f>Assumptions!B34/50</f>
        <v>5534</v>
      </c>
      <c r="AA11" s="49">
        <f>Assumptions!B34/50</f>
        <v>5534</v>
      </c>
      <c r="AB11" s="49">
        <f>Assumptions!B34/50</f>
        <v>5534</v>
      </c>
      <c r="AC11" s="49">
        <f>Assumptions!B34/50</f>
        <v>5534</v>
      </c>
      <c r="AD11" s="49">
        <f>Assumptions!B34/50</f>
        <v>5534</v>
      </c>
      <c r="AE11" s="49">
        <f>Assumptions!B34/50</f>
        <v>5534</v>
      </c>
      <c r="AF11" s="49">
        <f>Assumptions!B34/50</f>
        <v>5534</v>
      </c>
      <c r="AG11" s="49">
        <f>Assumptions!B34/50</f>
        <v>5534</v>
      </c>
      <c r="AH11" s="49">
        <f>Assumptions!B34/50</f>
        <v>5534</v>
      </c>
      <c r="AI11" s="49">
        <f>Assumptions!B34/50</f>
        <v>5534</v>
      </c>
      <c r="AJ11" s="49">
        <f>Assumptions!B34/50</f>
        <v>5534</v>
      </c>
      <c r="AK11" s="49">
        <f>Assumptions!B34/50</f>
        <v>5534</v>
      </c>
      <c r="AL11" s="49">
        <f>Assumptions!B34/50</f>
        <v>5534</v>
      </c>
      <c r="AM11" s="49">
        <f>Assumptions!B34/50</f>
        <v>5534</v>
      </c>
      <c r="AN11" s="49">
        <f>Assumptions!B34/50</f>
        <v>5534</v>
      </c>
      <c r="AO11" s="49">
        <f>Assumptions!B34/50</f>
        <v>5534</v>
      </c>
      <c r="AP11" s="49">
        <f>Assumptions!B34/50</f>
        <v>5534</v>
      </c>
      <c r="AQ11" s="49">
        <f>Assumptions!B34/50</f>
        <v>5534</v>
      </c>
      <c r="AR11" s="49">
        <f>Assumptions!B34/50</f>
        <v>5534</v>
      </c>
      <c r="AS11" s="49">
        <f>Assumptions!B34/50</f>
        <v>5534</v>
      </c>
      <c r="AT11" s="49">
        <f>Assumptions!B34/50</f>
        <v>5534</v>
      </c>
      <c r="AU11" s="49">
        <f>Assumptions!B34/50</f>
        <v>5534</v>
      </c>
      <c r="AV11" s="49">
        <f>Assumptions!B34/50</f>
        <v>5534</v>
      </c>
      <c r="AW11" s="49">
        <f>Assumptions!B34/50</f>
        <v>5534</v>
      </c>
      <c r="AX11" s="49">
        <f>Assumptions!B34/50</f>
        <v>5534</v>
      </c>
      <c r="AY11" s="49">
        <f>Assumptions!B34/50</f>
        <v>5534</v>
      </c>
      <c r="AZ11" s="50">
        <f t="shared" si="0"/>
        <v>276700</v>
      </c>
    </row>
    <row r="12" spans="1:55" ht="16.5" customHeight="1" x14ac:dyDescent="0.45">
      <c r="A12" s="51" t="s">
        <v>406</v>
      </c>
      <c r="B12" s="52">
        <f t="shared" ref="B12:AG12" si="1">B6+B7+B8+B9+B10+B11</f>
        <v>699034</v>
      </c>
      <c r="C12" s="52">
        <f t="shared" si="1"/>
        <v>900916.3529411765</v>
      </c>
      <c r="D12" s="52">
        <f t="shared" si="1"/>
        <v>900916.3529411765</v>
      </c>
      <c r="E12" s="52">
        <f t="shared" si="1"/>
        <v>900916.3529411765</v>
      </c>
      <c r="F12" s="52">
        <f t="shared" si="1"/>
        <v>900916.3529411765</v>
      </c>
      <c r="G12" s="52">
        <f t="shared" si="1"/>
        <v>1104836.3529411764</v>
      </c>
      <c r="H12" s="52">
        <f t="shared" si="1"/>
        <v>1104836.3529411764</v>
      </c>
      <c r="I12" s="52">
        <f t="shared" si="1"/>
        <v>1104836.3529411764</v>
      </c>
      <c r="J12" s="52">
        <f t="shared" si="1"/>
        <v>1104836.3529411764</v>
      </c>
      <c r="K12" s="52">
        <f t="shared" si="1"/>
        <v>1104836.3529411764</v>
      </c>
      <c r="L12" s="52">
        <f t="shared" si="1"/>
        <v>1104836.3529411764</v>
      </c>
      <c r="M12" s="52">
        <f t="shared" si="1"/>
        <v>1104836.3529411764</v>
      </c>
      <c r="N12" s="52">
        <f t="shared" si="1"/>
        <v>938753.01960784313</v>
      </c>
      <c r="O12" s="52">
        <f t="shared" si="1"/>
        <v>938753.01960784313</v>
      </c>
      <c r="P12" s="52">
        <f t="shared" si="1"/>
        <v>938753.01960784313</v>
      </c>
      <c r="Q12" s="52">
        <f t="shared" si="1"/>
        <v>938753.01960784313</v>
      </c>
      <c r="R12" s="52">
        <f t="shared" si="1"/>
        <v>938753.01960784313</v>
      </c>
      <c r="S12" s="52">
        <f t="shared" si="1"/>
        <v>938753.01960784313</v>
      </c>
      <c r="T12" s="52">
        <f t="shared" si="1"/>
        <v>736870.66666666663</v>
      </c>
      <c r="U12" s="52">
        <f t="shared" si="1"/>
        <v>736870.66666666663</v>
      </c>
      <c r="V12" s="52">
        <f t="shared" si="1"/>
        <v>736870.66666666663</v>
      </c>
      <c r="W12" s="52">
        <f t="shared" si="1"/>
        <v>736870.66666666663</v>
      </c>
      <c r="X12" s="52">
        <f t="shared" si="1"/>
        <v>736870.66666666663</v>
      </c>
      <c r="Y12" s="52">
        <f t="shared" si="1"/>
        <v>736870.66666666663</v>
      </c>
      <c r="Z12" s="52">
        <f t="shared" si="1"/>
        <v>214912.33333333334</v>
      </c>
      <c r="AA12" s="52">
        <f t="shared" si="1"/>
        <v>214912.33333333334</v>
      </c>
      <c r="AB12" s="52">
        <f t="shared" si="1"/>
        <v>214912.33333333334</v>
      </c>
      <c r="AC12" s="52">
        <f t="shared" si="1"/>
        <v>214912.33333333334</v>
      </c>
      <c r="AD12" s="52">
        <f t="shared" si="1"/>
        <v>214912.33333333334</v>
      </c>
      <c r="AE12" s="52">
        <f t="shared" si="1"/>
        <v>214912.33333333334</v>
      </c>
      <c r="AF12" s="52">
        <f t="shared" si="1"/>
        <v>10992.333333333332</v>
      </c>
      <c r="AG12" s="52">
        <f t="shared" si="1"/>
        <v>10992.333333333332</v>
      </c>
      <c r="AH12" s="52">
        <f t="shared" ref="AH12:BM12" si="2">AH6+AH7+AH8+AH9+AH10+AH11</f>
        <v>10992.333333333332</v>
      </c>
      <c r="AI12" s="52">
        <f t="shared" si="2"/>
        <v>10992.333333333332</v>
      </c>
      <c r="AJ12" s="52">
        <f t="shared" si="2"/>
        <v>10992.333333333332</v>
      </c>
      <c r="AK12" s="52">
        <f t="shared" si="2"/>
        <v>10992.333333333332</v>
      </c>
      <c r="AL12" s="52">
        <f t="shared" si="2"/>
        <v>10992.333333333332</v>
      </c>
      <c r="AM12" s="52">
        <f t="shared" si="2"/>
        <v>10992.333333333332</v>
      </c>
      <c r="AN12" s="52">
        <f t="shared" si="2"/>
        <v>10992.333333333332</v>
      </c>
      <c r="AO12" s="52">
        <f t="shared" si="2"/>
        <v>10992.333333333332</v>
      </c>
      <c r="AP12" s="52">
        <f t="shared" si="2"/>
        <v>10992.333333333332</v>
      </c>
      <c r="AQ12" s="52">
        <f t="shared" si="2"/>
        <v>10992.333333333332</v>
      </c>
      <c r="AR12" s="52">
        <f t="shared" si="2"/>
        <v>10992.333333333332</v>
      </c>
      <c r="AS12" s="52">
        <f t="shared" si="2"/>
        <v>10992.333333333332</v>
      </c>
      <c r="AT12" s="52">
        <f t="shared" si="2"/>
        <v>10992.333333333332</v>
      </c>
      <c r="AU12" s="52">
        <f t="shared" si="2"/>
        <v>10992.333333333332</v>
      </c>
      <c r="AV12" s="52">
        <f t="shared" si="2"/>
        <v>10992.333333333332</v>
      </c>
      <c r="AW12" s="52">
        <f t="shared" si="2"/>
        <v>10992.333333333332</v>
      </c>
      <c r="AX12" s="52">
        <f t="shared" si="2"/>
        <v>5534</v>
      </c>
      <c r="AY12" s="52">
        <f t="shared" si="2"/>
        <v>5534</v>
      </c>
      <c r="AZ12" s="52">
        <f t="shared" si="2"/>
        <v>23588700</v>
      </c>
    </row>
    <row r="13" spans="1:55" ht="18" customHeight="1" x14ac:dyDescent="0.45">
      <c r="A13" s="15" t="s">
        <v>407</v>
      </c>
    </row>
    <row r="14" spans="1:55" ht="15" customHeight="1" x14ac:dyDescent="0.45">
      <c r="A14" s="48" t="s">
        <v>105</v>
      </c>
      <c r="B14" s="49">
        <f>Assumptions!B38/36</f>
        <v>36666.666666666664</v>
      </c>
      <c r="C14" s="49">
        <f>Assumptions!B38/36</f>
        <v>36666.666666666664</v>
      </c>
      <c r="D14" s="49">
        <f>Assumptions!B38/36</f>
        <v>36666.666666666664</v>
      </c>
      <c r="E14" s="49">
        <f>Assumptions!B38/36</f>
        <v>36666.666666666664</v>
      </c>
      <c r="F14" s="49">
        <f>Assumptions!B38/36</f>
        <v>36666.666666666664</v>
      </c>
      <c r="G14" s="49">
        <f>Assumptions!B38/36</f>
        <v>36666.666666666664</v>
      </c>
      <c r="H14" s="49">
        <f>Assumptions!B38/36</f>
        <v>36666.666666666664</v>
      </c>
      <c r="I14" s="49">
        <f>Assumptions!B38/36</f>
        <v>36666.666666666664</v>
      </c>
      <c r="J14" s="49">
        <f>Assumptions!B38/36</f>
        <v>36666.666666666664</v>
      </c>
      <c r="K14" s="49">
        <f>Assumptions!B38/36</f>
        <v>36666.666666666664</v>
      </c>
      <c r="L14" s="49">
        <f>Assumptions!B38/36</f>
        <v>36666.666666666664</v>
      </c>
      <c r="M14" s="49">
        <f>Assumptions!B38/36</f>
        <v>36666.666666666664</v>
      </c>
      <c r="N14" s="49">
        <f>Assumptions!B38/36</f>
        <v>36666.666666666664</v>
      </c>
      <c r="O14" s="49">
        <f>Assumptions!B38/36</f>
        <v>36666.666666666664</v>
      </c>
      <c r="P14" s="49">
        <f>Assumptions!B38/36</f>
        <v>36666.666666666664</v>
      </c>
      <c r="Q14" s="49">
        <f>Assumptions!B38/36</f>
        <v>36666.666666666664</v>
      </c>
      <c r="R14" s="49">
        <f>Assumptions!B38/36</f>
        <v>36666.666666666664</v>
      </c>
      <c r="S14" s="49">
        <f>Assumptions!B38/36</f>
        <v>36666.666666666664</v>
      </c>
      <c r="T14" s="49">
        <f>Assumptions!B38/36</f>
        <v>36666.666666666664</v>
      </c>
      <c r="U14" s="49">
        <f>Assumptions!B38/36</f>
        <v>36666.666666666664</v>
      </c>
      <c r="V14" s="49">
        <f>Assumptions!B38/36</f>
        <v>36666.666666666664</v>
      </c>
      <c r="W14" s="49">
        <f>Assumptions!B38/36</f>
        <v>36666.666666666664</v>
      </c>
      <c r="X14" s="49">
        <f>Assumptions!B38/36</f>
        <v>36666.666666666664</v>
      </c>
      <c r="Y14" s="49">
        <f>Assumptions!B38/36</f>
        <v>36666.666666666664</v>
      </c>
      <c r="Z14" s="49">
        <f>Assumptions!B38/36</f>
        <v>36666.666666666664</v>
      </c>
      <c r="AA14" s="49">
        <f>Assumptions!B38/36</f>
        <v>36666.666666666664</v>
      </c>
      <c r="AB14" s="49">
        <f>Assumptions!B38/36</f>
        <v>36666.666666666664</v>
      </c>
      <c r="AC14" s="49">
        <f>Assumptions!B38/36</f>
        <v>36666.666666666664</v>
      </c>
      <c r="AD14" s="49">
        <f>Assumptions!B38/36</f>
        <v>36666.666666666664</v>
      </c>
      <c r="AE14" s="49">
        <f>Assumptions!B38/36</f>
        <v>36666.666666666664</v>
      </c>
      <c r="AF14" s="49">
        <f>Assumptions!B38/36</f>
        <v>36666.666666666664</v>
      </c>
      <c r="AG14" s="49">
        <f>Assumptions!B38/36</f>
        <v>36666.666666666664</v>
      </c>
      <c r="AH14" s="49">
        <f>Assumptions!B38/36</f>
        <v>36666.666666666664</v>
      </c>
      <c r="AI14" s="49">
        <f>Assumptions!B38/36</f>
        <v>36666.666666666664</v>
      </c>
      <c r="AJ14" s="49">
        <f>Assumptions!B38/36</f>
        <v>36666.666666666664</v>
      </c>
      <c r="AK14" s="49">
        <f>Assumptions!B38/36</f>
        <v>36666.666666666664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49">
        <v>0</v>
      </c>
      <c r="AX14" s="49">
        <v>0</v>
      </c>
      <c r="AY14" s="49">
        <v>0</v>
      </c>
      <c r="AZ14" s="50">
        <f>SUM(B14:AY14)</f>
        <v>1320000.0000000002</v>
      </c>
    </row>
    <row r="15" spans="1:55" ht="15" customHeight="1" x14ac:dyDescent="0.45">
      <c r="A15" s="48" t="s">
        <v>106</v>
      </c>
      <c r="B15" s="49">
        <f>Assumptions!B39/12</f>
        <v>6916.666666666667</v>
      </c>
      <c r="C15" s="49">
        <f>Assumptions!B39/12</f>
        <v>6916.666666666667</v>
      </c>
      <c r="D15" s="49">
        <f>Assumptions!B39/12</f>
        <v>6916.666666666667</v>
      </c>
      <c r="E15" s="49">
        <f>Assumptions!B39/12</f>
        <v>6916.666666666667</v>
      </c>
      <c r="F15" s="49">
        <f>Assumptions!B39/12</f>
        <v>6916.666666666667</v>
      </c>
      <c r="G15" s="49">
        <f>Assumptions!B39/12</f>
        <v>6916.666666666667</v>
      </c>
      <c r="H15" s="49">
        <f>Assumptions!B39/12</f>
        <v>6916.666666666667</v>
      </c>
      <c r="I15" s="49">
        <f>Assumptions!B39/12</f>
        <v>6916.666666666667</v>
      </c>
      <c r="J15" s="49">
        <f>Assumptions!B39/12</f>
        <v>6916.666666666667</v>
      </c>
      <c r="K15" s="49">
        <f>Assumptions!B39/12</f>
        <v>6916.666666666667</v>
      </c>
      <c r="L15" s="49">
        <f>Assumptions!B39/12</f>
        <v>6916.666666666667</v>
      </c>
      <c r="M15" s="49">
        <f>Assumptions!B39/12</f>
        <v>6916.666666666667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0</v>
      </c>
      <c r="AG15" s="49">
        <v>0</v>
      </c>
      <c r="AH15" s="49">
        <v>0</v>
      </c>
      <c r="AI15" s="49">
        <v>0</v>
      </c>
      <c r="AJ15" s="49">
        <v>0</v>
      </c>
      <c r="AK15" s="49">
        <v>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49">
        <v>0</v>
      </c>
      <c r="AX15" s="49">
        <v>0</v>
      </c>
      <c r="AY15" s="49">
        <v>0</v>
      </c>
      <c r="AZ15" s="50">
        <f>SUM(B15:AY15)</f>
        <v>83000</v>
      </c>
    </row>
    <row r="16" spans="1:55" ht="15" customHeight="1" x14ac:dyDescent="0.45">
      <c r="A16" s="51" t="s">
        <v>408</v>
      </c>
      <c r="B16" s="52">
        <f t="shared" ref="B16:AG16" si="3">B14+B15</f>
        <v>43583.333333333328</v>
      </c>
      <c r="C16" s="52">
        <f t="shared" si="3"/>
        <v>43583.333333333328</v>
      </c>
      <c r="D16" s="52">
        <f t="shared" si="3"/>
        <v>43583.333333333328</v>
      </c>
      <c r="E16" s="52">
        <f t="shared" si="3"/>
        <v>43583.333333333328</v>
      </c>
      <c r="F16" s="52">
        <f t="shared" si="3"/>
        <v>43583.333333333328</v>
      </c>
      <c r="G16" s="52">
        <f t="shared" si="3"/>
        <v>43583.333333333328</v>
      </c>
      <c r="H16" s="52">
        <f t="shared" si="3"/>
        <v>43583.333333333328</v>
      </c>
      <c r="I16" s="52">
        <f t="shared" si="3"/>
        <v>43583.333333333328</v>
      </c>
      <c r="J16" s="52">
        <f t="shared" si="3"/>
        <v>43583.333333333328</v>
      </c>
      <c r="K16" s="52">
        <f t="shared" si="3"/>
        <v>43583.333333333328</v>
      </c>
      <c r="L16" s="52">
        <f t="shared" si="3"/>
        <v>43583.333333333328</v>
      </c>
      <c r="M16" s="52">
        <f t="shared" si="3"/>
        <v>43583.333333333328</v>
      </c>
      <c r="N16" s="52">
        <f t="shared" si="3"/>
        <v>36666.666666666664</v>
      </c>
      <c r="O16" s="52">
        <f t="shared" si="3"/>
        <v>36666.666666666664</v>
      </c>
      <c r="P16" s="52">
        <f t="shared" si="3"/>
        <v>36666.666666666664</v>
      </c>
      <c r="Q16" s="52">
        <f t="shared" si="3"/>
        <v>36666.666666666664</v>
      </c>
      <c r="R16" s="52">
        <f t="shared" si="3"/>
        <v>36666.666666666664</v>
      </c>
      <c r="S16" s="52">
        <f t="shared" si="3"/>
        <v>36666.666666666664</v>
      </c>
      <c r="T16" s="52">
        <f t="shared" si="3"/>
        <v>36666.666666666664</v>
      </c>
      <c r="U16" s="52">
        <f t="shared" si="3"/>
        <v>36666.666666666664</v>
      </c>
      <c r="V16" s="52">
        <f t="shared" si="3"/>
        <v>36666.666666666664</v>
      </c>
      <c r="W16" s="52">
        <f t="shared" si="3"/>
        <v>36666.666666666664</v>
      </c>
      <c r="X16" s="52">
        <f t="shared" si="3"/>
        <v>36666.666666666664</v>
      </c>
      <c r="Y16" s="52">
        <f t="shared" si="3"/>
        <v>36666.666666666664</v>
      </c>
      <c r="Z16" s="52">
        <f t="shared" si="3"/>
        <v>36666.666666666664</v>
      </c>
      <c r="AA16" s="52">
        <f t="shared" si="3"/>
        <v>36666.666666666664</v>
      </c>
      <c r="AB16" s="52">
        <f t="shared" si="3"/>
        <v>36666.666666666664</v>
      </c>
      <c r="AC16" s="52">
        <f t="shared" si="3"/>
        <v>36666.666666666664</v>
      </c>
      <c r="AD16" s="52">
        <f t="shared" si="3"/>
        <v>36666.666666666664</v>
      </c>
      <c r="AE16" s="52">
        <f t="shared" si="3"/>
        <v>36666.666666666664</v>
      </c>
      <c r="AF16" s="52">
        <f t="shared" si="3"/>
        <v>36666.666666666664</v>
      </c>
      <c r="AG16" s="52">
        <f t="shared" si="3"/>
        <v>36666.666666666664</v>
      </c>
      <c r="AH16" s="52">
        <f t="shared" ref="AH16:BM16" si="4">AH14+AH15</f>
        <v>36666.666666666664</v>
      </c>
      <c r="AI16" s="52">
        <f t="shared" si="4"/>
        <v>36666.666666666664</v>
      </c>
      <c r="AJ16" s="52">
        <f t="shared" si="4"/>
        <v>36666.666666666664</v>
      </c>
      <c r="AK16" s="52">
        <f t="shared" si="4"/>
        <v>36666.666666666664</v>
      </c>
      <c r="AL16" s="52">
        <f t="shared" si="4"/>
        <v>0</v>
      </c>
      <c r="AM16" s="52">
        <f t="shared" si="4"/>
        <v>0</v>
      </c>
      <c r="AN16" s="52">
        <f t="shared" si="4"/>
        <v>0</v>
      </c>
      <c r="AO16" s="52">
        <f t="shared" si="4"/>
        <v>0</v>
      </c>
      <c r="AP16" s="52">
        <f t="shared" si="4"/>
        <v>0</v>
      </c>
      <c r="AQ16" s="52">
        <f t="shared" si="4"/>
        <v>0</v>
      </c>
      <c r="AR16" s="52">
        <f t="shared" si="4"/>
        <v>0</v>
      </c>
      <c r="AS16" s="52">
        <f t="shared" si="4"/>
        <v>0</v>
      </c>
      <c r="AT16" s="52">
        <f t="shared" si="4"/>
        <v>0</v>
      </c>
      <c r="AU16" s="52">
        <f t="shared" si="4"/>
        <v>0</v>
      </c>
      <c r="AV16" s="52">
        <f t="shared" si="4"/>
        <v>0</v>
      </c>
      <c r="AW16" s="52">
        <f t="shared" si="4"/>
        <v>0</v>
      </c>
      <c r="AX16" s="52">
        <f t="shared" si="4"/>
        <v>0</v>
      </c>
      <c r="AY16" s="52">
        <f t="shared" si="4"/>
        <v>0</v>
      </c>
      <c r="AZ16" s="52">
        <f t="shared" si="4"/>
        <v>1403000.0000000002</v>
      </c>
    </row>
    <row r="17" spans="1:52" ht="18" customHeight="1" x14ac:dyDescent="0.45">
      <c r="A17" s="15" t="s">
        <v>409</v>
      </c>
    </row>
    <row r="18" spans="1:52" ht="15" customHeight="1" x14ac:dyDescent="0.45">
      <c r="A18" s="48" t="s">
        <v>410</v>
      </c>
      <c r="B18" s="49">
        <v>0</v>
      </c>
      <c r="C18" s="49">
        <v>0</v>
      </c>
      <c r="D18" s="49">
        <v>0</v>
      </c>
      <c r="E18" s="49">
        <v>0</v>
      </c>
      <c r="F18" s="49">
        <f>Assumptions!E14*(1-Assumptions!B60)/(18)</f>
        <v>490133.33333333331</v>
      </c>
      <c r="G18" s="49">
        <f>Assumptions!E14*(1-Assumptions!B60)/(18)</f>
        <v>490133.33333333331</v>
      </c>
      <c r="H18" s="49">
        <f>Assumptions!E14*(1-Assumptions!B60)/(18)</f>
        <v>490133.33333333331</v>
      </c>
      <c r="I18" s="49">
        <f>Assumptions!E14*(1-Assumptions!B60)/(18)</f>
        <v>490133.33333333331</v>
      </c>
      <c r="J18" s="49">
        <f>Assumptions!E14*(1-Assumptions!B60)/(18)</f>
        <v>490133.33333333331</v>
      </c>
      <c r="K18" s="49">
        <f>Assumptions!E14*(1-Assumptions!B60)/(18)</f>
        <v>490133.33333333331</v>
      </c>
      <c r="L18" s="49">
        <f>Assumptions!E14*(1-Assumptions!B60)/(18)</f>
        <v>490133.33333333331</v>
      </c>
      <c r="M18" s="49">
        <f>Assumptions!E14*(1-Assumptions!B60)/(18)</f>
        <v>490133.33333333331</v>
      </c>
      <c r="N18" s="49">
        <f>Assumptions!E14*(1-Assumptions!B60)/(18)</f>
        <v>490133.33333333331</v>
      </c>
      <c r="O18" s="49">
        <f>Assumptions!E14*(1-Assumptions!B60)/(18)</f>
        <v>490133.33333333331</v>
      </c>
      <c r="P18" s="49">
        <f>Assumptions!E14*(1-Assumptions!B60)/(18)</f>
        <v>490133.33333333331</v>
      </c>
      <c r="Q18" s="49">
        <f>Assumptions!E14*(1-Assumptions!B60)/(18)</f>
        <v>490133.33333333331</v>
      </c>
      <c r="R18" s="49">
        <f>Assumptions!E14*(1-Assumptions!B60)/(18)</f>
        <v>490133.33333333331</v>
      </c>
      <c r="S18" s="49">
        <f>Assumptions!E14*(1-Assumptions!B60)/(18)</f>
        <v>490133.33333333331</v>
      </c>
      <c r="T18" s="49">
        <f>Assumptions!E14*(1-Assumptions!B60)/(18)</f>
        <v>490133.33333333331</v>
      </c>
      <c r="U18" s="49">
        <f>Assumptions!E14*(1-Assumptions!B60)/(18)</f>
        <v>490133.33333333331</v>
      </c>
      <c r="V18" s="49">
        <f>Assumptions!E14*(1-Assumptions!B60)/(18)</f>
        <v>490133.33333333331</v>
      </c>
      <c r="W18" s="49">
        <f>Assumptions!E14*(1-Assumptions!B60)/(18)</f>
        <v>490133.33333333331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49">
        <v>0</v>
      </c>
      <c r="AH18" s="49">
        <v>0</v>
      </c>
      <c r="AI18" s="49">
        <v>0</v>
      </c>
      <c r="AJ18" s="49">
        <v>0</v>
      </c>
      <c r="AK18" s="49"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50">
        <f>SUM(B18:AY18)</f>
        <v>8822399.9999999981</v>
      </c>
    </row>
    <row r="19" spans="1:52" ht="15" customHeight="1" x14ac:dyDescent="0.45">
      <c r="A19" s="48" t="s">
        <v>411</v>
      </c>
      <c r="B19" s="49">
        <v>0</v>
      </c>
      <c r="C19" s="49">
        <v>0</v>
      </c>
      <c r="D19" s="49">
        <v>0</v>
      </c>
      <c r="E19" s="49">
        <v>0</v>
      </c>
      <c r="F19" s="49">
        <f>Assumptions!E15*(1-Assumptions!B60)/(18)</f>
        <v>794666.66666666663</v>
      </c>
      <c r="G19" s="49">
        <f>Assumptions!E15*(1-Assumptions!B60)/(18)</f>
        <v>794666.66666666663</v>
      </c>
      <c r="H19" s="49">
        <f>Assumptions!E15*(1-Assumptions!B60)/(18)</f>
        <v>794666.66666666663</v>
      </c>
      <c r="I19" s="49">
        <f>Assumptions!E15*(1-Assumptions!B60)/(18)</f>
        <v>794666.66666666663</v>
      </c>
      <c r="J19" s="49">
        <f>Assumptions!E15*(1-Assumptions!B60)/(18)</f>
        <v>794666.66666666663</v>
      </c>
      <c r="K19" s="49">
        <f>Assumptions!E15*(1-Assumptions!B60)/(18)</f>
        <v>794666.66666666663</v>
      </c>
      <c r="L19" s="49">
        <f>Assumptions!E15*(1-Assumptions!B60)/(18)</f>
        <v>794666.66666666663</v>
      </c>
      <c r="M19" s="49">
        <f>Assumptions!E15*(1-Assumptions!B60)/(18)</f>
        <v>794666.66666666663</v>
      </c>
      <c r="N19" s="49">
        <f>Assumptions!E15*(1-Assumptions!B60)/(18)</f>
        <v>794666.66666666663</v>
      </c>
      <c r="O19" s="49">
        <f>Assumptions!E15*(1-Assumptions!B60)/(18)</f>
        <v>794666.66666666663</v>
      </c>
      <c r="P19" s="49">
        <f>Assumptions!E15*(1-Assumptions!B60)/(18)</f>
        <v>794666.66666666663</v>
      </c>
      <c r="Q19" s="49">
        <f>Assumptions!E15*(1-Assumptions!B60)/(18)</f>
        <v>794666.66666666663</v>
      </c>
      <c r="R19" s="49">
        <f>Assumptions!E15*(1-Assumptions!B60)/(18)</f>
        <v>794666.66666666663</v>
      </c>
      <c r="S19" s="49">
        <f>Assumptions!E15*(1-Assumptions!B60)/(18)</f>
        <v>794666.66666666663</v>
      </c>
      <c r="T19" s="49">
        <f>Assumptions!E15*(1-Assumptions!B60)/(18)</f>
        <v>794666.66666666663</v>
      </c>
      <c r="U19" s="49">
        <f>Assumptions!E15*(1-Assumptions!B60)/(18)</f>
        <v>794666.66666666663</v>
      </c>
      <c r="V19" s="49">
        <f>Assumptions!E15*(1-Assumptions!B60)/(18)</f>
        <v>794666.66666666663</v>
      </c>
      <c r="W19" s="49">
        <f>Assumptions!E15*(1-Assumptions!B60)/(18)</f>
        <v>794666.66666666663</v>
      </c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50">
        <f>SUM(B19:AY19)</f>
        <v>14303999.999999996</v>
      </c>
    </row>
    <row r="20" spans="1:52" ht="15" customHeight="1" x14ac:dyDescent="0.45">
      <c r="A20" s="48" t="s">
        <v>412</v>
      </c>
      <c r="B20" s="49">
        <v>0</v>
      </c>
      <c r="C20" s="49">
        <v>0</v>
      </c>
      <c r="D20" s="49">
        <v>0</v>
      </c>
      <c r="E20" s="49">
        <v>0</v>
      </c>
      <c r="F20" s="49">
        <f>Assumptions!E16*(1-Assumptions!B60)/(18)</f>
        <v>816023.30666666664</v>
      </c>
      <c r="G20" s="49">
        <f>Assumptions!E16*(1-Assumptions!B60)/(18)</f>
        <v>816023.30666666664</v>
      </c>
      <c r="H20" s="49">
        <f>Assumptions!E16*(1-Assumptions!B60)/(18)</f>
        <v>816023.30666666664</v>
      </c>
      <c r="I20" s="49">
        <f>Assumptions!E16*(1-Assumptions!B60)/(18)</f>
        <v>816023.30666666664</v>
      </c>
      <c r="J20" s="49">
        <f>Assumptions!E16*(1-Assumptions!B60)/(18)</f>
        <v>816023.30666666664</v>
      </c>
      <c r="K20" s="49">
        <f>Assumptions!E16*(1-Assumptions!B60)/(18)</f>
        <v>816023.30666666664</v>
      </c>
      <c r="L20" s="49">
        <f>Assumptions!E16*(1-Assumptions!B60)/(18)</f>
        <v>816023.30666666664</v>
      </c>
      <c r="M20" s="49">
        <f>Assumptions!E16*(1-Assumptions!B60)/(18)</f>
        <v>816023.30666666664</v>
      </c>
      <c r="N20" s="49">
        <f>Assumptions!E16*(1-Assumptions!B60)/(18)</f>
        <v>816023.30666666664</v>
      </c>
      <c r="O20" s="49">
        <f>Assumptions!E16*(1-Assumptions!B60)/(18)</f>
        <v>816023.30666666664</v>
      </c>
      <c r="P20" s="49">
        <f>Assumptions!E16*(1-Assumptions!B60)/(18)</f>
        <v>816023.30666666664</v>
      </c>
      <c r="Q20" s="49">
        <f>Assumptions!E16*(1-Assumptions!B60)/(18)</f>
        <v>816023.30666666664</v>
      </c>
      <c r="R20" s="49">
        <f>Assumptions!E16*(1-Assumptions!B60)/(18)</f>
        <v>816023.30666666664</v>
      </c>
      <c r="S20" s="49">
        <f>Assumptions!E16*(1-Assumptions!B60)/(18)</f>
        <v>816023.30666666664</v>
      </c>
      <c r="T20" s="49">
        <f>Assumptions!E16*(1-Assumptions!B60)/(18)</f>
        <v>816023.30666666664</v>
      </c>
      <c r="U20" s="49">
        <f>Assumptions!E16*(1-Assumptions!B60)/(18)</f>
        <v>816023.30666666664</v>
      </c>
      <c r="V20" s="49">
        <f>Assumptions!E16*(1-Assumptions!B60)/(18)</f>
        <v>816023.30666666664</v>
      </c>
      <c r="W20" s="49">
        <f>Assumptions!E16*(1-Assumptions!B60)/(18)</f>
        <v>816023.30666666664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49">
        <v>0</v>
      </c>
      <c r="AH20" s="49"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0</v>
      </c>
      <c r="AN20" s="49">
        <v>0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  <c r="AY20" s="49">
        <v>0</v>
      </c>
      <c r="AZ20" s="50">
        <f>SUM(B20:AY20)</f>
        <v>14688419.52</v>
      </c>
    </row>
    <row r="21" spans="1:52" ht="15" customHeight="1" x14ac:dyDescent="0.45">
      <c r="A21" s="53" t="s">
        <v>413</v>
      </c>
      <c r="B21" s="54">
        <f t="shared" ref="B21:AG21" si="5">B18+B19+B20</f>
        <v>0</v>
      </c>
      <c r="C21" s="54">
        <f t="shared" si="5"/>
        <v>0</v>
      </c>
      <c r="D21" s="54">
        <f t="shared" si="5"/>
        <v>0</v>
      </c>
      <c r="E21" s="54">
        <f t="shared" si="5"/>
        <v>0</v>
      </c>
      <c r="F21" s="54">
        <f t="shared" si="5"/>
        <v>2100823.3066666666</v>
      </c>
      <c r="G21" s="54">
        <f t="shared" si="5"/>
        <v>2100823.3066666666</v>
      </c>
      <c r="H21" s="54">
        <f t="shared" si="5"/>
        <v>2100823.3066666666</v>
      </c>
      <c r="I21" s="54">
        <f t="shared" si="5"/>
        <v>2100823.3066666666</v>
      </c>
      <c r="J21" s="54">
        <f t="shared" si="5"/>
        <v>2100823.3066666666</v>
      </c>
      <c r="K21" s="54">
        <f t="shared" si="5"/>
        <v>2100823.3066666666</v>
      </c>
      <c r="L21" s="54">
        <f t="shared" si="5"/>
        <v>2100823.3066666666</v>
      </c>
      <c r="M21" s="54">
        <f t="shared" si="5"/>
        <v>2100823.3066666666</v>
      </c>
      <c r="N21" s="54">
        <f t="shared" si="5"/>
        <v>2100823.3066666666</v>
      </c>
      <c r="O21" s="54">
        <f t="shared" si="5"/>
        <v>2100823.3066666666</v>
      </c>
      <c r="P21" s="54">
        <f t="shared" si="5"/>
        <v>2100823.3066666666</v>
      </c>
      <c r="Q21" s="54">
        <f t="shared" si="5"/>
        <v>2100823.3066666666</v>
      </c>
      <c r="R21" s="54">
        <f t="shared" si="5"/>
        <v>2100823.3066666666</v>
      </c>
      <c r="S21" s="54">
        <f t="shared" si="5"/>
        <v>2100823.3066666666</v>
      </c>
      <c r="T21" s="54">
        <f t="shared" si="5"/>
        <v>2100823.3066666666</v>
      </c>
      <c r="U21" s="54">
        <f t="shared" si="5"/>
        <v>2100823.3066666666</v>
      </c>
      <c r="V21" s="54">
        <f t="shared" si="5"/>
        <v>2100823.3066666666</v>
      </c>
      <c r="W21" s="54">
        <f t="shared" si="5"/>
        <v>2100823.3066666666</v>
      </c>
      <c r="X21" s="54">
        <f t="shared" si="5"/>
        <v>0</v>
      </c>
      <c r="Y21" s="54">
        <f t="shared" si="5"/>
        <v>0</v>
      </c>
      <c r="Z21" s="54">
        <f t="shared" si="5"/>
        <v>0</v>
      </c>
      <c r="AA21" s="54">
        <f t="shared" si="5"/>
        <v>0</v>
      </c>
      <c r="AB21" s="54">
        <f t="shared" si="5"/>
        <v>0</v>
      </c>
      <c r="AC21" s="54">
        <f t="shared" si="5"/>
        <v>0</v>
      </c>
      <c r="AD21" s="54">
        <f t="shared" si="5"/>
        <v>0</v>
      </c>
      <c r="AE21" s="54">
        <f t="shared" si="5"/>
        <v>0</v>
      </c>
      <c r="AF21" s="54">
        <f t="shared" si="5"/>
        <v>0</v>
      </c>
      <c r="AG21" s="54">
        <f t="shared" si="5"/>
        <v>0</v>
      </c>
      <c r="AH21" s="54">
        <f t="shared" ref="AH21:BM21" si="6">AH18+AH19+AH20</f>
        <v>0</v>
      </c>
      <c r="AI21" s="54">
        <f t="shared" si="6"/>
        <v>0</v>
      </c>
      <c r="AJ21" s="54">
        <f t="shared" si="6"/>
        <v>0</v>
      </c>
      <c r="AK21" s="54">
        <f t="shared" si="6"/>
        <v>0</v>
      </c>
      <c r="AL21" s="54">
        <f t="shared" si="6"/>
        <v>0</v>
      </c>
      <c r="AM21" s="54">
        <f t="shared" si="6"/>
        <v>0</v>
      </c>
      <c r="AN21" s="54">
        <f t="shared" si="6"/>
        <v>0</v>
      </c>
      <c r="AO21" s="54">
        <f t="shared" si="6"/>
        <v>0</v>
      </c>
      <c r="AP21" s="54">
        <f t="shared" si="6"/>
        <v>0</v>
      </c>
      <c r="AQ21" s="54">
        <f t="shared" si="6"/>
        <v>0</v>
      </c>
      <c r="AR21" s="54">
        <f t="shared" si="6"/>
        <v>0</v>
      </c>
      <c r="AS21" s="54">
        <f t="shared" si="6"/>
        <v>0</v>
      </c>
      <c r="AT21" s="54">
        <f t="shared" si="6"/>
        <v>0</v>
      </c>
      <c r="AU21" s="54">
        <f t="shared" si="6"/>
        <v>0</v>
      </c>
      <c r="AV21" s="54">
        <f t="shared" si="6"/>
        <v>0</v>
      </c>
      <c r="AW21" s="54">
        <f t="shared" si="6"/>
        <v>0</v>
      </c>
      <c r="AX21" s="54">
        <f t="shared" si="6"/>
        <v>0</v>
      </c>
      <c r="AY21" s="54">
        <f t="shared" si="6"/>
        <v>0</v>
      </c>
      <c r="AZ21" s="54">
        <f t="shared" si="6"/>
        <v>37814819.519999996</v>
      </c>
    </row>
    <row r="22" spans="1:52" ht="18" customHeight="1" x14ac:dyDescent="0.45">
      <c r="A22" s="15" t="s">
        <v>304</v>
      </c>
    </row>
    <row r="23" spans="1:52" ht="15" customHeight="1" x14ac:dyDescent="0.45">
      <c r="A23" s="48" t="s">
        <v>414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f>Assumptions!B43*0.5</f>
        <v>11700000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  <c r="AG23" s="55">
        <v>0</v>
      </c>
      <c r="AH23" s="55">
        <v>0</v>
      </c>
      <c r="AI23" s="55">
        <v>0</v>
      </c>
      <c r="AJ23" s="55">
        <v>0</v>
      </c>
      <c r="AK23" s="55">
        <v>0</v>
      </c>
      <c r="AL23" s="55">
        <v>0</v>
      </c>
      <c r="AM23" s="55">
        <v>0</v>
      </c>
      <c r="AN23" s="55">
        <v>0</v>
      </c>
      <c r="AO23" s="55">
        <v>0</v>
      </c>
      <c r="AP23" s="55">
        <v>0</v>
      </c>
      <c r="AQ23" s="55">
        <v>0</v>
      </c>
      <c r="AR23" s="55">
        <v>0</v>
      </c>
      <c r="AS23" s="55">
        <v>0</v>
      </c>
      <c r="AT23" s="55">
        <v>0</v>
      </c>
      <c r="AU23" s="55">
        <v>0</v>
      </c>
      <c r="AV23" s="55">
        <v>0</v>
      </c>
      <c r="AW23" s="55">
        <v>0</v>
      </c>
      <c r="AX23" s="55">
        <v>0</v>
      </c>
      <c r="AY23" s="55">
        <v>0</v>
      </c>
      <c r="AZ23" s="50">
        <f>SUM(B23:AY23)</f>
        <v>11700000</v>
      </c>
    </row>
    <row r="24" spans="1:52" ht="15" customHeight="1" x14ac:dyDescent="0.45">
      <c r="A24" s="48" t="s">
        <v>415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55">
        <f>Assumptions!B43*0.5</f>
        <v>11700000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49">
        <v>0</v>
      </c>
      <c r="AX24" s="49">
        <v>0</v>
      </c>
      <c r="AY24" s="49">
        <v>0</v>
      </c>
      <c r="AZ24" s="50">
        <f>SUM(B24:AY24)</f>
        <v>11700000</v>
      </c>
    </row>
    <row r="25" spans="1:52" ht="15" customHeight="1" x14ac:dyDescent="0.45">
      <c r="A25" s="56" t="s">
        <v>416</v>
      </c>
      <c r="B25" s="57">
        <f t="shared" ref="B25:AG25" si="7">B23+B24</f>
        <v>0</v>
      </c>
      <c r="C25" s="57">
        <f t="shared" si="7"/>
        <v>0</v>
      </c>
      <c r="D25" s="57">
        <f t="shared" si="7"/>
        <v>0</v>
      </c>
      <c r="E25" s="57">
        <f t="shared" si="7"/>
        <v>0</v>
      </c>
      <c r="F25" s="57">
        <f t="shared" si="7"/>
        <v>0</v>
      </c>
      <c r="G25" s="57">
        <f t="shared" si="7"/>
        <v>0</v>
      </c>
      <c r="H25" s="57">
        <f t="shared" si="7"/>
        <v>0</v>
      </c>
      <c r="I25" s="57">
        <f t="shared" si="7"/>
        <v>0</v>
      </c>
      <c r="J25" s="57">
        <f t="shared" si="7"/>
        <v>0</v>
      </c>
      <c r="K25" s="57">
        <f t="shared" si="7"/>
        <v>0</v>
      </c>
      <c r="L25" s="57">
        <f t="shared" si="7"/>
        <v>0</v>
      </c>
      <c r="M25" s="57">
        <f t="shared" si="7"/>
        <v>0</v>
      </c>
      <c r="N25" s="57">
        <f t="shared" si="7"/>
        <v>0</v>
      </c>
      <c r="O25" s="57">
        <f t="shared" si="7"/>
        <v>0</v>
      </c>
      <c r="P25" s="57">
        <f t="shared" si="7"/>
        <v>11700000</v>
      </c>
      <c r="Q25" s="57">
        <f t="shared" si="7"/>
        <v>0</v>
      </c>
      <c r="R25" s="57">
        <f t="shared" si="7"/>
        <v>0</v>
      </c>
      <c r="S25" s="57">
        <f t="shared" si="7"/>
        <v>0</v>
      </c>
      <c r="T25" s="57">
        <f t="shared" si="7"/>
        <v>0</v>
      </c>
      <c r="U25" s="57">
        <f t="shared" si="7"/>
        <v>0</v>
      </c>
      <c r="V25" s="57">
        <f t="shared" si="7"/>
        <v>11700000</v>
      </c>
      <c r="W25" s="57">
        <f t="shared" si="7"/>
        <v>0</v>
      </c>
      <c r="X25" s="57">
        <f t="shared" si="7"/>
        <v>0</v>
      </c>
      <c r="Y25" s="57">
        <f t="shared" si="7"/>
        <v>0</v>
      </c>
      <c r="Z25" s="57">
        <f t="shared" si="7"/>
        <v>0</v>
      </c>
      <c r="AA25" s="57">
        <f t="shared" si="7"/>
        <v>0</v>
      </c>
      <c r="AB25" s="57">
        <f t="shared" si="7"/>
        <v>0</v>
      </c>
      <c r="AC25" s="57">
        <f t="shared" si="7"/>
        <v>0</v>
      </c>
      <c r="AD25" s="57">
        <f t="shared" si="7"/>
        <v>0</v>
      </c>
      <c r="AE25" s="57">
        <f t="shared" si="7"/>
        <v>0</v>
      </c>
      <c r="AF25" s="57">
        <f t="shared" si="7"/>
        <v>0</v>
      </c>
      <c r="AG25" s="57">
        <f t="shared" si="7"/>
        <v>0</v>
      </c>
      <c r="AH25" s="57">
        <f t="shared" ref="AH25:BM25" si="8">AH23+AH24</f>
        <v>0</v>
      </c>
      <c r="AI25" s="57">
        <f t="shared" si="8"/>
        <v>0</v>
      </c>
      <c r="AJ25" s="57">
        <f t="shared" si="8"/>
        <v>0</v>
      </c>
      <c r="AK25" s="57">
        <f t="shared" si="8"/>
        <v>0</v>
      </c>
      <c r="AL25" s="57">
        <f t="shared" si="8"/>
        <v>0</v>
      </c>
      <c r="AM25" s="57">
        <f t="shared" si="8"/>
        <v>0</v>
      </c>
      <c r="AN25" s="57">
        <f t="shared" si="8"/>
        <v>0</v>
      </c>
      <c r="AO25" s="57">
        <f t="shared" si="8"/>
        <v>0</v>
      </c>
      <c r="AP25" s="57">
        <f t="shared" si="8"/>
        <v>0</v>
      </c>
      <c r="AQ25" s="57">
        <f t="shared" si="8"/>
        <v>0</v>
      </c>
      <c r="AR25" s="57">
        <f t="shared" si="8"/>
        <v>0</v>
      </c>
      <c r="AS25" s="57">
        <f t="shared" si="8"/>
        <v>0</v>
      </c>
      <c r="AT25" s="57">
        <f t="shared" si="8"/>
        <v>0</v>
      </c>
      <c r="AU25" s="57">
        <f t="shared" si="8"/>
        <v>0</v>
      </c>
      <c r="AV25" s="57">
        <f t="shared" si="8"/>
        <v>0</v>
      </c>
      <c r="AW25" s="57">
        <f t="shared" si="8"/>
        <v>0</v>
      </c>
      <c r="AX25" s="57">
        <f t="shared" si="8"/>
        <v>0</v>
      </c>
      <c r="AY25" s="57">
        <f t="shared" si="8"/>
        <v>0</v>
      </c>
      <c r="AZ25" s="57">
        <f t="shared" si="8"/>
        <v>23400000</v>
      </c>
    </row>
    <row r="26" spans="1:52" ht="18" customHeight="1" x14ac:dyDescent="0.45">
      <c r="A26" s="35" t="s">
        <v>417</v>
      </c>
    </row>
    <row r="27" spans="1:52" ht="15" customHeight="1" x14ac:dyDescent="0.45">
      <c r="A27" s="51" t="s">
        <v>418</v>
      </c>
      <c r="B27" s="52">
        <f t="shared" ref="B27:AG27" si="9">B21+B25-B12-B16</f>
        <v>-742617.33333333337</v>
      </c>
      <c r="C27" s="52">
        <f t="shared" si="9"/>
        <v>-944499.68627450988</v>
      </c>
      <c r="D27" s="52">
        <f t="shared" si="9"/>
        <v>-944499.68627450988</v>
      </c>
      <c r="E27" s="52">
        <f t="shared" si="9"/>
        <v>-944499.68627450988</v>
      </c>
      <c r="F27" s="52">
        <f t="shared" si="9"/>
        <v>1156323.620392157</v>
      </c>
      <c r="G27" s="52">
        <f t="shared" si="9"/>
        <v>952403.62039215688</v>
      </c>
      <c r="H27" s="52">
        <f t="shared" si="9"/>
        <v>952403.62039215688</v>
      </c>
      <c r="I27" s="52">
        <f t="shared" si="9"/>
        <v>952403.62039215688</v>
      </c>
      <c r="J27" s="52">
        <f t="shared" si="9"/>
        <v>952403.62039215688</v>
      </c>
      <c r="K27" s="52">
        <f t="shared" si="9"/>
        <v>952403.62039215688</v>
      </c>
      <c r="L27" s="52">
        <f t="shared" si="9"/>
        <v>952403.62039215688</v>
      </c>
      <c r="M27" s="52">
        <f t="shared" si="9"/>
        <v>952403.62039215688</v>
      </c>
      <c r="N27" s="52">
        <f t="shared" si="9"/>
        <v>1125403.6203921568</v>
      </c>
      <c r="O27" s="52">
        <f t="shared" si="9"/>
        <v>1125403.6203921568</v>
      </c>
      <c r="P27" s="52">
        <f t="shared" si="9"/>
        <v>12825403.620392157</v>
      </c>
      <c r="Q27" s="52">
        <f t="shared" si="9"/>
        <v>1125403.6203921568</v>
      </c>
      <c r="R27" s="52">
        <f t="shared" si="9"/>
        <v>1125403.6203921568</v>
      </c>
      <c r="S27" s="52">
        <f t="shared" si="9"/>
        <v>1125403.6203921568</v>
      </c>
      <c r="T27" s="52">
        <f t="shared" si="9"/>
        <v>1327285.9733333334</v>
      </c>
      <c r="U27" s="52">
        <f t="shared" si="9"/>
        <v>1327285.9733333334</v>
      </c>
      <c r="V27" s="52">
        <f t="shared" si="9"/>
        <v>13027285.973333335</v>
      </c>
      <c r="W27" s="52">
        <f t="shared" si="9"/>
        <v>1327285.9733333334</v>
      </c>
      <c r="X27" s="52">
        <f t="shared" si="9"/>
        <v>-773537.33333333326</v>
      </c>
      <c r="Y27" s="52">
        <f t="shared" si="9"/>
        <v>-773537.33333333326</v>
      </c>
      <c r="Z27" s="52">
        <f t="shared" si="9"/>
        <v>-251579</v>
      </c>
      <c r="AA27" s="52">
        <f t="shared" si="9"/>
        <v>-251579</v>
      </c>
      <c r="AB27" s="52">
        <f t="shared" si="9"/>
        <v>-251579</v>
      </c>
      <c r="AC27" s="52">
        <f t="shared" si="9"/>
        <v>-251579</v>
      </c>
      <c r="AD27" s="52">
        <f t="shared" si="9"/>
        <v>-251579</v>
      </c>
      <c r="AE27" s="52">
        <f t="shared" si="9"/>
        <v>-251579</v>
      </c>
      <c r="AF27" s="52">
        <f t="shared" si="9"/>
        <v>-47659</v>
      </c>
      <c r="AG27" s="52">
        <f t="shared" si="9"/>
        <v>-47659</v>
      </c>
      <c r="AH27" s="52">
        <f t="shared" ref="AH27:AZ27" si="10">AH21+AH25-AH12-AH16</f>
        <v>-47659</v>
      </c>
      <c r="AI27" s="52">
        <f t="shared" si="10"/>
        <v>-47659</v>
      </c>
      <c r="AJ27" s="52">
        <f t="shared" si="10"/>
        <v>-47659</v>
      </c>
      <c r="AK27" s="52">
        <f t="shared" si="10"/>
        <v>-47659</v>
      </c>
      <c r="AL27" s="52">
        <f t="shared" si="10"/>
        <v>-10992.333333333332</v>
      </c>
      <c r="AM27" s="52">
        <f t="shared" si="10"/>
        <v>-10992.333333333332</v>
      </c>
      <c r="AN27" s="52">
        <f t="shared" si="10"/>
        <v>-10992.333333333332</v>
      </c>
      <c r="AO27" s="52">
        <f t="shared" si="10"/>
        <v>-10992.333333333332</v>
      </c>
      <c r="AP27" s="52">
        <f t="shared" si="10"/>
        <v>-10992.333333333332</v>
      </c>
      <c r="AQ27" s="52">
        <f t="shared" si="10"/>
        <v>-10992.333333333332</v>
      </c>
      <c r="AR27" s="52">
        <f t="shared" si="10"/>
        <v>-10992.333333333332</v>
      </c>
      <c r="AS27" s="52">
        <f t="shared" si="10"/>
        <v>-10992.333333333332</v>
      </c>
      <c r="AT27" s="52">
        <f t="shared" si="10"/>
        <v>-10992.333333333332</v>
      </c>
      <c r="AU27" s="52">
        <f t="shared" si="10"/>
        <v>-10992.333333333332</v>
      </c>
      <c r="AV27" s="52">
        <f t="shared" si="10"/>
        <v>-10992.333333333332</v>
      </c>
      <c r="AW27" s="52">
        <f t="shared" si="10"/>
        <v>-10992.333333333332</v>
      </c>
      <c r="AX27" s="52">
        <f t="shared" si="10"/>
        <v>-5534</v>
      </c>
      <c r="AY27" s="52">
        <f t="shared" si="10"/>
        <v>-5534</v>
      </c>
      <c r="AZ27" s="52">
        <f t="shared" si="10"/>
        <v>36223119.519999996</v>
      </c>
    </row>
    <row r="28" spans="1:52" ht="15" customHeight="1" x14ac:dyDescent="0.45">
      <c r="A28" s="58" t="s">
        <v>419</v>
      </c>
      <c r="B28" s="59">
        <f>B27</f>
        <v>-742617.33333333337</v>
      </c>
      <c r="C28" s="59">
        <f t="shared" ref="C28:AH28" si="11">B28+C27</f>
        <v>-1687117.0196078434</v>
      </c>
      <c r="D28" s="59">
        <f t="shared" si="11"/>
        <v>-2631616.7058823532</v>
      </c>
      <c r="E28" s="59">
        <f t="shared" si="11"/>
        <v>-3576116.3921568631</v>
      </c>
      <c r="F28" s="59">
        <f t="shared" si="11"/>
        <v>-2419792.7717647059</v>
      </c>
      <c r="G28" s="59">
        <f t="shared" si="11"/>
        <v>-1467389.1513725491</v>
      </c>
      <c r="H28" s="59">
        <f t="shared" si="11"/>
        <v>-514985.53098039224</v>
      </c>
      <c r="I28" s="59">
        <f t="shared" si="11"/>
        <v>437418.08941176464</v>
      </c>
      <c r="J28" s="59">
        <f t="shared" si="11"/>
        <v>1389821.7098039216</v>
      </c>
      <c r="K28" s="59">
        <f t="shared" si="11"/>
        <v>2342225.3301960784</v>
      </c>
      <c r="L28" s="59">
        <f t="shared" si="11"/>
        <v>3294628.9505882352</v>
      </c>
      <c r="M28" s="59">
        <f t="shared" si="11"/>
        <v>4247032.5709803924</v>
      </c>
      <c r="N28" s="59">
        <f t="shared" si="11"/>
        <v>5372436.1913725492</v>
      </c>
      <c r="O28" s="59">
        <f t="shared" si="11"/>
        <v>6497839.8117647059</v>
      </c>
      <c r="P28" s="59">
        <f t="shared" si="11"/>
        <v>19323243.432156861</v>
      </c>
      <c r="Q28" s="59">
        <f t="shared" si="11"/>
        <v>20448647.052549019</v>
      </c>
      <c r="R28" s="59">
        <f t="shared" si="11"/>
        <v>21574050.672941178</v>
      </c>
      <c r="S28" s="59">
        <f t="shared" si="11"/>
        <v>22699454.293333337</v>
      </c>
      <c r="T28" s="59">
        <f t="shared" si="11"/>
        <v>24026740.266666669</v>
      </c>
      <c r="U28" s="59">
        <f t="shared" si="11"/>
        <v>25354026.240000002</v>
      </c>
      <c r="V28" s="59">
        <f t="shared" si="11"/>
        <v>38381312.213333338</v>
      </c>
      <c r="W28" s="59">
        <f t="shared" si="11"/>
        <v>39708598.186666675</v>
      </c>
      <c r="X28" s="59">
        <f t="shared" si="11"/>
        <v>38935060.853333339</v>
      </c>
      <c r="Y28" s="59">
        <f t="shared" si="11"/>
        <v>38161523.520000003</v>
      </c>
      <c r="Z28" s="59">
        <f t="shared" si="11"/>
        <v>37909944.520000003</v>
      </c>
      <c r="AA28" s="59">
        <f t="shared" si="11"/>
        <v>37658365.520000003</v>
      </c>
      <c r="AB28" s="59">
        <f t="shared" si="11"/>
        <v>37406786.520000003</v>
      </c>
      <c r="AC28" s="59">
        <f t="shared" si="11"/>
        <v>37155207.520000003</v>
      </c>
      <c r="AD28" s="59">
        <f t="shared" si="11"/>
        <v>36903628.520000003</v>
      </c>
      <c r="AE28" s="59">
        <f t="shared" si="11"/>
        <v>36652049.520000003</v>
      </c>
      <c r="AF28" s="59">
        <f t="shared" si="11"/>
        <v>36604390.520000003</v>
      </c>
      <c r="AG28" s="59">
        <f t="shared" si="11"/>
        <v>36556731.520000003</v>
      </c>
      <c r="AH28" s="59">
        <f t="shared" si="11"/>
        <v>36509072.520000003</v>
      </c>
      <c r="AI28" s="59">
        <f t="shared" ref="AI28:BN28" si="12">AH28+AI27</f>
        <v>36461413.520000003</v>
      </c>
      <c r="AJ28" s="59">
        <f t="shared" si="12"/>
        <v>36413754.520000003</v>
      </c>
      <c r="AK28" s="59">
        <f t="shared" si="12"/>
        <v>36366095.520000003</v>
      </c>
      <c r="AL28" s="59">
        <f t="shared" si="12"/>
        <v>36355103.186666667</v>
      </c>
      <c r="AM28" s="59">
        <f t="shared" si="12"/>
        <v>36344110.853333332</v>
      </c>
      <c r="AN28" s="59">
        <f t="shared" si="12"/>
        <v>36333118.519999996</v>
      </c>
      <c r="AO28" s="59">
        <f t="shared" si="12"/>
        <v>36322126.18666666</v>
      </c>
      <c r="AP28" s="59">
        <f t="shared" si="12"/>
        <v>36311133.853333324</v>
      </c>
      <c r="AQ28" s="59">
        <f t="shared" si="12"/>
        <v>36300141.519999988</v>
      </c>
      <c r="AR28" s="59">
        <f t="shared" si="12"/>
        <v>36289149.186666653</v>
      </c>
      <c r="AS28" s="59">
        <f t="shared" si="12"/>
        <v>36278156.853333317</v>
      </c>
      <c r="AT28" s="59">
        <f t="shared" si="12"/>
        <v>36267164.519999981</v>
      </c>
      <c r="AU28" s="59">
        <f t="shared" si="12"/>
        <v>36256172.186666645</v>
      </c>
      <c r="AV28" s="59">
        <f t="shared" si="12"/>
        <v>36245179.853333309</v>
      </c>
      <c r="AW28" s="59">
        <f t="shared" si="12"/>
        <v>36234187.519999973</v>
      </c>
      <c r="AX28" s="59">
        <f t="shared" si="12"/>
        <v>36228653.519999973</v>
      </c>
      <c r="AY28" s="59">
        <f t="shared" si="12"/>
        <v>36223119.519999973</v>
      </c>
      <c r="AZ28" s="59">
        <f>SUM(B27:AY27)</f>
        <v>36223119.519999973</v>
      </c>
    </row>
    <row r="29" spans="1:52" ht="15" customHeight="1" x14ac:dyDescent="0.45">
      <c r="A29" s="60" t="s">
        <v>420</v>
      </c>
      <c r="B29" s="61">
        <f t="shared" ref="B29:AG29" si="13">MAX(0,-B28)</f>
        <v>742617.33333333337</v>
      </c>
      <c r="C29" s="61">
        <f t="shared" si="13"/>
        <v>1687117.0196078434</v>
      </c>
      <c r="D29" s="61">
        <f t="shared" si="13"/>
        <v>2631616.7058823532</v>
      </c>
      <c r="E29" s="61">
        <f t="shared" si="13"/>
        <v>3576116.3921568631</v>
      </c>
      <c r="F29" s="61">
        <f t="shared" si="13"/>
        <v>2419792.7717647059</v>
      </c>
      <c r="G29" s="61">
        <f t="shared" si="13"/>
        <v>1467389.1513725491</v>
      </c>
      <c r="H29" s="61">
        <f t="shared" si="13"/>
        <v>514985.53098039224</v>
      </c>
      <c r="I29" s="61">
        <f t="shared" si="13"/>
        <v>0</v>
      </c>
      <c r="J29" s="61">
        <f t="shared" si="13"/>
        <v>0</v>
      </c>
      <c r="K29" s="61">
        <f t="shared" si="13"/>
        <v>0</v>
      </c>
      <c r="L29" s="61">
        <f t="shared" si="13"/>
        <v>0</v>
      </c>
      <c r="M29" s="61">
        <f t="shared" si="13"/>
        <v>0</v>
      </c>
      <c r="N29" s="61">
        <f t="shared" si="13"/>
        <v>0</v>
      </c>
      <c r="O29" s="61">
        <f t="shared" si="13"/>
        <v>0</v>
      </c>
      <c r="P29" s="61">
        <f t="shared" si="13"/>
        <v>0</v>
      </c>
      <c r="Q29" s="61">
        <f t="shared" si="13"/>
        <v>0</v>
      </c>
      <c r="R29" s="61">
        <f t="shared" si="13"/>
        <v>0</v>
      </c>
      <c r="S29" s="61">
        <f t="shared" si="13"/>
        <v>0</v>
      </c>
      <c r="T29" s="61">
        <f t="shared" si="13"/>
        <v>0</v>
      </c>
      <c r="U29" s="61">
        <f t="shared" si="13"/>
        <v>0</v>
      </c>
      <c r="V29" s="61">
        <f t="shared" si="13"/>
        <v>0</v>
      </c>
      <c r="W29" s="61">
        <f t="shared" si="13"/>
        <v>0</v>
      </c>
      <c r="X29" s="61">
        <f t="shared" si="13"/>
        <v>0</v>
      </c>
      <c r="Y29" s="61">
        <f t="shared" si="13"/>
        <v>0</v>
      </c>
      <c r="Z29" s="61">
        <f t="shared" si="13"/>
        <v>0</v>
      </c>
      <c r="AA29" s="61">
        <f t="shared" si="13"/>
        <v>0</v>
      </c>
      <c r="AB29" s="61">
        <f t="shared" si="13"/>
        <v>0</v>
      </c>
      <c r="AC29" s="61">
        <f t="shared" si="13"/>
        <v>0</v>
      </c>
      <c r="AD29" s="61">
        <f t="shared" si="13"/>
        <v>0</v>
      </c>
      <c r="AE29" s="61">
        <f t="shared" si="13"/>
        <v>0</v>
      </c>
      <c r="AF29" s="61">
        <f t="shared" si="13"/>
        <v>0</v>
      </c>
      <c r="AG29" s="61">
        <f t="shared" si="13"/>
        <v>0</v>
      </c>
      <c r="AH29" s="61">
        <f t="shared" ref="AH29:BM29" si="14">MAX(0,-AH28)</f>
        <v>0</v>
      </c>
      <c r="AI29" s="61">
        <f t="shared" si="14"/>
        <v>0</v>
      </c>
      <c r="AJ29" s="61">
        <f t="shared" si="14"/>
        <v>0</v>
      </c>
      <c r="AK29" s="61">
        <f t="shared" si="14"/>
        <v>0</v>
      </c>
      <c r="AL29" s="61">
        <f t="shared" si="14"/>
        <v>0</v>
      </c>
      <c r="AM29" s="61">
        <f t="shared" si="14"/>
        <v>0</v>
      </c>
      <c r="AN29" s="61">
        <f t="shared" si="14"/>
        <v>0</v>
      </c>
      <c r="AO29" s="61">
        <f t="shared" si="14"/>
        <v>0</v>
      </c>
      <c r="AP29" s="61">
        <f t="shared" si="14"/>
        <v>0</v>
      </c>
      <c r="AQ29" s="61">
        <f t="shared" si="14"/>
        <v>0</v>
      </c>
      <c r="AR29" s="61">
        <f t="shared" si="14"/>
        <v>0</v>
      </c>
      <c r="AS29" s="61">
        <f t="shared" si="14"/>
        <v>0</v>
      </c>
      <c r="AT29" s="61">
        <f t="shared" si="14"/>
        <v>0</v>
      </c>
      <c r="AU29" s="61">
        <f t="shared" si="14"/>
        <v>0</v>
      </c>
      <c r="AV29" s="61">
        <f t="shared" si="14"/>
        <v>0</v>
      </c>
      <c r="AW29" s="61">
        <f t="shared" si="14"/>
        <v>0</v>
      </c>
      <c r="AX29" s="61">
        <f t="shared" si="14"/>
        <v>0</v>
      </c>
      <c r="AY29" s="61">
        <f t="shared" si="14"/>
        <v>0</v>
      </c>
      <c r="AZ29" s="62">
        <f>MAX(B29:AY29)</f>
        <v>3576116.3921568631</v>
      </c>
    </row>
  </sheetData>
  <mergeCells count="2">
    <mergeCell ref="A1:BC1"/>
    <mergeCell ref="A2:BC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showGridLines="0" zoomScaleNormal="100" workbookViewId="0"/>
  </sheetViews>
  <sheetFormatPr defaultColWidth="8.6640625" defaultRowHeight="14.25" x14ac:dyDescent="0.45"/>
  <cols>
    <col min="1" max="1" width="35" customWidth="1"/>
    <col min="2" max="2" width="18" customWidth="1"/>
    <col min="3" max="4" width="12" customWidth="1"/>
    <col min="5" max="5" width="4" customWidth="1"/>
    <col min="6" max="6" width="18" customWidth="1"/>
    <col min="7" max="7" width="12" customWidth="1"/>
  </cols>
  <sheetData>
    <row r="1" spans="1:7" ht="27.75" customHeight="1" x14ac:dyDescent="0.45">
      <c r="A1" s="7" t="s">
        <v>421</v>
      </c>
      <c r="B1" s="7"/>
      <c r="C1" s="7"/>
      <c r="D1" s="7"/>
      <c r="E1" s="7"/>
      <c r="F1" s="7"/>
      <c r="G1" s="7"/>
    </row>
    <row r="2" spans="1:7" ht="27.75" customHeight="1" x14ac:dyDescent="0.45">
      <c r="A2" s="6" t="s">
        <v>422</v>
      </c>
      <c r="B2" s="6"/>
      <c r="C2" s="6"/>
      <c r="D2" s="6"/>
      <c r="E2" s="6"/>
      <c r="F2" s="6"/>
      <c r="G2" s="6"/>
    </row>
    <row r="4" spans="1:7" ht="18" customHeight="1" x14ac:dyDescent="0.45">
      <c r="A4" s="15" t="s">
        <v>423</v>
      </c>
      <c r="B4" s="16"/>
      <c r="C4" s="16"/>
      <c r="D4" s="16"/>
      <c r="F4" s="15" t="s">
        <v>424</v>
      </c>
      <c r="G4" s="16"/>
    </row>
    <row r="5" spans="1:7" ht="15" customHeight="1" x14ac:dyDescent="0.45">
      <c r="A5" s="26" t="s">
        <v>291</v>
      </c>
      <c r="B5" s="26" t="s">
        <v>292</v>
      </c>
      <c r="C5" s="26" t="s">
        <v>81</v>
      </c>
      <c r="D5" s="26" t="s">
        <v>425</v>
      </c>
      <c r="F5" s="26" t="s">
        <v>426</v>
      </c>
      <c r="G5" s="26" t="s">
        <v>292</v>
      </c>
    </row>
    <row r="6" spans="1:7" ht="15" customHeight="1" x14ac:dyDescent="0.45">
      <c r="A6" s="63" t="s">
        <v>96</v>
      </c>
      <c r="F6" s="22" t="s">
        <v>427</v>
      </c>
      <c r="G6" s="37">
        <f>Assumptions!B33</f>
        <v>262000</v>
      </c>
    </row>
    <row r="7" spans="1:7" ht="15" customHeight="1" x14ac:dyDescent="0.45">
      <c r="A7" s="22" t="s">
        <v>97</v>
      </c>
      <c r="B7" s="37">
        <f>Assumptions!B29</f>
        <v>1993000</v>
      </c>
      <c r="C7" s="29">
        <f>IF(B30&gt;0,B7/B30,0)</f>
        <v>5.2366129261783141E-2</v>
      </c>
      <c r="D7" s="39">
        <f>IF(Assumptions!B9&gt;0,B7/Assumptions!B9,0)</f>
        <v>0.45945955292026541</v>
      </c>
      <c r="F7" s="22" t="s">
        <v>428</v>
      </c>
      <c r="G7" s="37">
        <f>Assumptions!B43</f>
        <v>23400000</v>
      </c>
    </row>
    <row r="8" spans="1:7" ht="15" customHeight="1" x14ac:dyDescent="0.45">
      <c r="A8" s="22" t="s">
        <v>98</v>
      </c>
      <c r="B8" s="37">
        <f>Assumptions!B30</f>
        <v>3432000</v>
      </c>
      <c r="C8" s="29">
        <f>IF(B30&gt;0,B8/B30,0)</f>
        <v>9.0175893440260779E-2</v>
      </c>
      <c r="D8" s="39">
        <f>IF(Assumptions!B9&gt;0,B8/Assumptions!B9,0)</f>
        <v>0.79120179910805366</v>
      </c>
      <c r="F8" s="22" t="s">
        <v>429</v>
      </c>
      <c r="G8" s="37">
        <f>Assumptions!B41</f>
        <v>0</v>
      </c>
    </row>
    <row r="9" spans="1:7" ht="15" customHeight="1" x14ac:dyDescent="0.45">
      <c r="A9" s="22" t="s">
        <v>99</v>
      </c>
      <c r="B9" s="37">
        <f>Assumptions!B31</f>
        <v>12527000</v>
      </c>
      <c r="C9" s="29">
        <f>IF(B30&gt;0,B9/B30,0)</f>
        <v>0.32914726606239708</v>
      </c>
      <c r="D9" s="39">
        <f>IF(Assumptions!B9&gt;0,B9/Assumptions!B9,0)</f>
        <v>2.8879326740753464</v>
      </c>
      <c r="F9" s="30" t="s">
        <v>430</v>
      </c>
      <c r="G9" s="30">
        <f>SUM(G6:G8)</f>
        <v>23662000</v>
      </c>
    </row>
    <row r="10" spans="1:7" ht="15" customHeight="1" x14ac:dyDescent="0.45">
      <c r="A10" s="22" t="s">
        <v>100</v>
      </c>
      <c r="B10" s="37">
        <f>Assumptions!B32</f>
        <v>5098000</v>
      </c>
      <c r="C10" s="29">
        <f>IF(B30&gt;0,B10/B30,0)</f>
        <v>0.13395008879908202</v>
      </c>
      <c r="D10" s="39">
        <f>IF(Assumptions!B9&gt;0,B10/Assumptions!B9,0)</f>
        <v>1.1752758659244924</v>
      </c>
    </row>
    <row r="11" spans="1:7" ht="15" customHeight="1" x14ac:dyDescent="0.45">
      <c r="A11" s="22" t="s">
        <v>101</v>
      </c>
      <c r="B11" s="37">
        <f>Assumptions!B33</f>
        <v>262000</v>
      </c>
      <c r="C11" s="29">
        <f>IF(B30&gt;0,B11/B30,0)</f>
        <v>6.8840571332600018E-3</v>
      </c>
      <c r="D11" s="39">
        <f>IF(Assumptions!B9&gt;0,B11/Assumptions!B9,0)</f>
        <v>6.0400603544962142E-2</v>
      </c>
    </row>
    <row r="12" spans="1:7" ht="15" customHeight="1" x14ac:dyDescent="0.45">
      <c r="A12" s="22" t="s">
        <v>405</v>
      </c>
      <c r="B12" s="37">
        <f>Assumptions!B34</f>
        <v>276700</v>
      </c>
      <c r="C12" s="29">
        <f>IF(B30&gt;0,B12/B30,0)</f>
        <v>7.2703000334848949E-3</v>
      </c>
      <c r="D12" s="39">
        <f>IF(Assumptions!B9&gt;0,B12/Assumptions!B9,0)</f>
        <v>6.3789492369813072E-2</v>
      </c>
    </row>
    <row r="13" spans="1:7" ht="15" customHeight="1" x14ac:dyDescent="0.45">
      <c r="A13" s="30" t="s">
        <v>103</v>
      </c>
      <c r="B13" s="30">
        <f>SUM(B7:B12)</f>
        <v>23588700</v>
      </c>
      <c r="C13" s="29">
        <f>IF(B30&gt;0,B13/B30,0)</f>
        <v>0.61979373473026789</v>
      </c>
      <c r="D13" s="39">
        <f>IF(Assumptions!B9&gt;0,B13/Assumptions!B9,0)</f>
        <v>5.4380599879429328</v>
      </c>
    </row>
    <row r="14" spans="1:7" ht="15" customHeight="1" x14ac:dyDescent="0.45">
      <c r="A14" s="63" t="s">
        <v>104</v>
      </c>
    </row>
    <row r="15" spans="1:7" ht="15" customHeight="1" x14ac:dyDescent="0.45">
      <c r="A15" s="22" t="s">
        <v>105</v>
      </c>
      <c r="B15" s="37">
        <f>Assumptions!B38</f>
        <v>1320000</v>
      </c>
      <c r="C15" s="29">
        <f>IF(B30&gt;0,B15/B30,0)</f>
        <v>3.468303593856184E-2</v>
      </c>
      <c r="D15" s="39">
        <f>IF(Assumptions!B9&gt;0,B15/Assumptions!B9,0)</f>
        <v>0.30430838427232831</v>
      </c>
    </row>
    <row r="16" spans="1:7" ht="15" customHeight="1" x14ac:dyDescent="0.45">
      <c r="A16" s="22" t="s">
        <v>106</v>
      </c>
      <c r="B16" s="37">
        <f>Assumptions!B39</f>
        <v>83000</v>
      </c>
      <c r="C16" s="29">
        <f>IF(B30&gt;0,B16/B30,0)</f>
        <v>2.1808272597732066E-3</v>
      </c>
      <c r="D16" s="39">
        <f>IF(Assumptions!B9&gt;0,B16/Assumptions!B9,0)</f>
        <v>1.9134542344396405E-2</v>
      </c>
    </row>
    <row r="17" spans="1:4" ht="15" customHeight="1" x14ac:dyDescent="0.45">
      <c r="A17" s="30" t="s">
        <v>107</v>
      </c>
      <c r="B17" s="30">
        <f>SUM(B15:B16)</f>
        <v>1403000</v>
      </c>
      <c r="C17" s="29">
        <f>IF(B30&gt;0,B17/B30,0)</f>
        <v>3.6863863198335046E-2</v>
      </c>
      <c r="D17" s="39">
        <f>IF(Assumptions!B9&gt;0,B17/Assumptions!B9,0)</f>
        <v>0.32344292661672475</v>
      </c>
    </row>
    <row r="18" spans="1:4" ht="15" customHeight="1" x14ac:dyDescent="0.45">
      <c r="A18" s="22" t="s">
        <v>119</v>
      </c>
      <c r="B18" s="37">
        <f>Assumptions!B56</f>
        <v>11387289</v>
      </c>
      <c r="C18" s="29">
        <f>IF(B30&gt;0,B18/B30,0)</f>
        <v>0.2992013285074166</v>
      </c>
      <c r="D18" s="39">
        <f>IF(Assumptions!B9&gt;0,B18/Assumptions!B9,0)</f>
        <v>2.6251875127515589</v>
      </c>
    </row>
    <row r="19" spans="1:4" ht="15" customHeight="1" x14ac:dyDescent="0.45">
      <c r="A19" s="22" t="s">
        <v>431</v>
      </c>
      <c r="B19" s="38">
        <f>Assumptions!B61*(B13+B17)</f>
        <v>1249585</v>
      </c>
      <c r="C19" s="29">
        <f>IF(B30&gt;0,B19/B30,0)</f>
        <v>3.2832879896430148E-2</v>
      </c>
      <c r="D19" s="39">
        <f>IF(Assumptions!B9&gt;0,B19/Assumptions!B9,0)</f>
        <v>0.28807514572798287</v>
      </c>
    </row>
    <row r="20" spans="1:4" ht="15" customHeight="1" x14ac:dyDescent="0.45">
      <c r="A20" s="63" t="s">
        <v>331</v>
      </c>
    </row>
    <row r="21" spans="1:4" ht="15" customHeight="1" x14ac:dyDescent="0.45">
      <c r="A21" s="22" t="s">
        <v>179</v>
      </c>
      <c r="B21" s="37">
        <f>Assumptions!B49</f>
        <v>6700</v>
      </c>
      <c r="C21" s="29">
        <f>IF(B30&gt;0,B21/B30,0)</f>
        <v>1.7604268241542753E-4</v>
      </c>
      <c r="D21" s="39">
        <f>IF(Assumptions!B9&gt;0,B21/Assumptions!B9,0)</f>
        <v>1.544595586836818E-3</v>
      </c>
    </row>
    <row r="22" spans="1:4" ht="15" customHeight="1" x14ac:dyDescent="0.45">
      <c r="A22" s="22" t="s">
        <v>432</v>
      </c>
      <c r="B22" s="37">
        <f>Assumptions!B50</f>
        <v>6700</v>
      </c>
      <c r="C22" s="29">
        <f>IF(B30&gt;0,B22/B30,0)</f>
        <v>1.7604268241542753E-4</v>
      </c>
      <c r="D22" s="39">
        <f>IF(Assumptions!B9&gt;0,B22/Assumptions!B9,0)</f>
        <v>1.544595586836818E-3</v>
      </c>
    </row>
    <row r="23" spans="1:4" ht="15" customHeight="1" x14ac:dyDescent="0.45">
      <c r="A23" s="22" t="s">
        <v>433</v>
      </c>
      <c r="B23" s="37">
        <f>Assumptions!B44</f>
        <v>240000</v>
      </c>
      <c r="C23" s="29">
        <f>IF(B30&gt;0,B23/B30,0)</f>
        <v>6.3060065342839706E-3</v>
      </c>
      <c r="D23" s="39">
        <f>IF(Assumptions!B9&gt;0,B23/Assumptions!B9,0)</f>
        <v>5.5328797140423332E-2</v>
      </c>
    </row>
    <row r="24" spans="1:4" ht="15" customHeight="1" x14ac:dyDescent="0.45">
      <c r="A24" s="22" t="s">
        <v>434</v>
      </c>
      <c r="B24" s="37">
        <f>Assumptions!B45</f>
        <v>150000</v>
      </c>
      <c r="C24" s="29">
        <f>IF(B30&gt;0,B24/B30,0)</f>
        <v>3.9412540839274821E-3</v>
      </c>
      <c r="D24" s="39">
        <f>IF(Assumptions!B9&gt;0,B24/Assumptions!B9,0)</f>
        <v>3.4580498212764585E-2</v>
      </c>
    </row>
    <row r="25" spans="1:4" ht="15" customHeight="1" x14ac:dyDescent="0.45">
      <c r="A25" s="22" t="s">
        <v>435</v>
      </c>
      <c r="B25" s="37">
        <f>Assumptions!B51</f>
        <v>1178</v>
      </c>
      <c r="C25" s="29">
        <f>IF(B30&gt;0,B25/B30,0)</f>
        <v>3.0951982072443823E-5</v>
      </c>
      <c r="D25" s="39">
        <f>IF(Assumptions!B9&gt;0,B25/Assumptions!B9,0)</f>
        <v>2.7157217929757785E-4</v>
      </c>
    </row>
    <row r="26" spans="1:4" ht="15" customHeight="1" x14ac:dyDescent="0.45">
      <c r="A26" s="22" t="s">
        <v>181</v>
      </c>
      <c r="B26" s="37">
        <f>Assumptions!B53</f>
        <v>25800</v>
      </c>
      <c r="C26" s="29">
        <f>IF(B30&gt;0,B26/B30,0)</f>
        <v>6.7789570243552682E-4</v>
      </c>
      <c r="D26" s="39">
        <f>IF(Assumptions!B9&gt;0,B26/Assumptions!B9,0)</f>
        <v>5.9478456925955081E-3</v>
      </c>
    </row>
    <row r="27" spans="1:4" ht="15" customHeight="1" x14ac:dyDescent="0.45">
      <c r="A27" s="30" t="s">
        <v>436</v>
      </c>
      <c r="B27" s="30">
        <f>SUM(B21:B26)</f>
        <v>430378</v>
      </c>
      <c r="C27" s="29">
        <f>IF(B30&gt;0,B27/B30,0)</f>
        <v>1.1308193667550278E-2</v>
      </c>
      <c r="D27" s="39">
        <f>IF(Assumptions!B9&gt;0,B27/Assumptions!B9,0)</f>
        <v>9.9217904398754636E-2</v>
      </c>
    </row>
    <row r="28" spans="1:4" ht="15" customHeight="1" x14ac:dyDescent="0.45">
      <c r="A28" s="22" t="s">
        <v>437</v>
      </c>
      <c r="B28" s="38">
        <f>Assumptions!B60*Assumptions!E17</f>
        <v>1575617.48</v>
      </c>
      <c r="C28" s="29">
        <f>IF(B30&gt;0,B28/B30,0)</f>
        <v>4.1399392185050184E-2</v>
      </c>
      <c r="D28" s="39">
        <f>IF(Assumptions!B9&gt;0,B28/Assumptions!B9,0)</f>
        <v>0.36323758300760423</v>
      </c>
    </row>
    <row r="30" spans="1:4" ht="15" customHeight="1" x14ac:dyDescent="0.45">
      <c r="A30" s="30" t="s">
        <v>438</v>
      </c>
      <c r="B30" s="30">
        <f>B13+B17+B18+B19+B27</f>
        <v>38058952</v>
      </c>
      <c r="C30" s="29">
        <f>IF(B30&gt;0,B30/B30,0)</f>
        <v>1</v>
      </c>
      <c r="D30" s="39">
        <f>IF(Assumptions!B9&gt;0,B30/Assumptions!B9,0)</f>
        <v>8.7739834774379535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showGridLines="0" zoomScaleNormal="100" workbookViewId="0">
      <selection sqref="A1:E1"/>
    </sheetView>
  </sheetViews>
  <sheetFormatPr defaultColWidth="8.6640625" defaultRowHeight="14.25" x14ac:dyDescent="0.45"/>
  <cols>
    <col min="1" max="1" width="35" customWidth="1"/>
    <col min="2" max="2" width="18" customWidth="1"/>
    <col min="3" max="4" width="14" customWidth="1"/>
    <col min="5" max="5" width="22" customWidth="1"/>
  </cols>
  <sheetData>
    <row r="1" spans="1:5" ht="27.75" customHeight="1" x14ac:dyDescent="0.45">
      <c r="A1" s="7" t="s">
        <v>439</v>
      </c>
      <c r="B1" s="7"/>
      <c r="C1" s="7"/>
      <c r="D1" s="7"/>
      <c r="E1" s="7"/>
    </row>
    <row r="2" spans="1:5" ht="27.75" customHeight="1" x14ac:dyDescent="0.45">
      <c r="A2" s="6" t="s">
        <v>440</v>
      </c>
      <c r="B2" s="6"/>
      <c r="C2" s="6"/>
      <c r="D2" s="6"/>
      <c r="E2" s="6"/>
    </row>
    <row r="4" spans="1:5" ht="18" customHeight="1" x14ac:dyDescent="0.45">
      <c r="A4" s="15" t="s">
        <v>441</v>
      </c>
      <c r="B4" s="16"/>
      <c r="C4" s="16"/>
      <c r="D4" s="16"/>
      <c r="E4" s="16"/>
    </row>
    <row r="5" spans="1:5" ht="15" customHeight="1" x14ac:dyDescent="0.45">
      <c r="A5" s="26" t="s">
        <v>442</v>
      </c>
      <c r="B5" s="26" t="s">
        <v>443</v>
      </c>
      <c r="C5" s="26" t="s">
        <v>223</v>
      </c>
    </row>
    <row r="6" spans="1:5" ht="15" customHeight="1" x14ac:dyDescent="0.45">
      <c r="A6" s="22" t="s">
        <v>444</v>
      </c>
      <c r="B6" s="37">
        <f>Assumptions!B43</f>
        <v>23400000</v>
      </c>
      <c r="C6" s="40" t="s">
        <v>445</v>
      </c>
    </row>
    <row r="7" spans="1:5" ht="15" customHeight="1" x14ac:dyDescent="0.45">
      <c r="A7" s="22" t="s">
        <v>446</v>
      </c>
      <c r="B7" s="37">
        <f>Assumptions!B43*0.5</f>
        <v>11700000</v>
      </c>
      <c r="C7" s="40" t="s">
        <v>447</v>
      </c>
    </row>
    <row r="8" spans="1:5" ht="15" customHeight="1" x14ac:dyDescent="0.45">
      <c r="A8" s="22" t="s">
        <v>448</v>
      </c>
      <c r="B8" s="37">
        <f>Assumptions!B43*0.5</f>
        <v>11700000</v>
      </c>
      <c r="C8" s="40" t="s">
        <v>449</v>
      </c>
    </row>
    <row r="9" spans="1:5" ht="15" customHeight="1" x14ac:dyDescent="0.45">
      <c r="A9" s="22" t="s">
        <v>450</v>
      </c>
      <c r="B9" s="37">
        <f>Assumptions!B44</f>
        <v>240000</v>
      </c>
      <c r="C9" s="40" t="s">
        <v>451</v>
      </c>
    </row>
    <row r="10" spans="1:5" ht="15" customHeight="1" x14ac:dyDescent="0.45">
      <c r="A10" s="22" t="s">
        <v>434</v>
      </c>
      <c r="B10" s="37">
        <f>Assumptions!B45</f>
        <v>150000</v>
      </c>
      <c r="C10" s="40" t="s">
        <v>452</v>
      </c>
    </row>
    <row r="12" spans="1:5" ht="18" customHeight="1" x14ac:dyDescent="0.45">
      <c r="A12" s="15" t="s">
        <v>112</v>
      </c>
      <c r="B12" s="16"/>
      <c r="C12" s="16"/>
      <c r="D12" s="16"/>
      <c r="E12" s="16"/>
    </row>
    <row r="13" spans="1:5" ht="15" customHeight="1" x14ac:dyDescent="0.45">
      <c r="A13" s="22" t="s">
        <v>453</v>
      </c>
      <c r="B13" s="37">
        <f>Assumptions!B52</f>
        <v>671535</v>
      </c>
    </row>
    <row r="14" spans="1:5" ht="15" customHeight="1" x14ac:dyDescent="0.45">
      <c r="A14" s="22" t="s">
        <v>454</v>
      </c>
      <c r="B14" s="37">
        <f>Assumptions!B48</f>
        <v>0.11</v>
      </c>
    </row>
    <row r="15" spans="1:5" ht="15" customHeight="1" x14ac:dyDescent="0.45">
      <c r="A15" s="22" t="s">
        <v>455</v>
      </c>
      <c r="B15" s="37">
        <f>Assumptions!B49</f>
        <v>6700</v>
      </c>
    </row>
    <row r="16" spans="1:5" ht="15" customHeight="1" x14ac:dyDescent="0.45">
      <c r="A16" s="22" t="s">
        <v>432</v>
      </c>
      <c r="B16" s="37">
        <f>Assumptions!B50</f>
        <v>6700</v>
      </c>
    </row>
    <row r="17" spans="1:5" ht="15" customHeight="1" x14ac:dyDescent="0.45">
      <c r="A17" s="22" t="s">
        <v>456</v>
      </c>
      <c r="B17" s="37">
        <f>Assumptions!B53</f>
        <v>25800</v>
      </c>
    </row>
    <row r="18" spans="1:5" ht="15" customHeight="1" x14ac:dyDescent="0.45">
      <c r="A18" s="22" t="s">
        <v>435</v>
      </c>
      <c r="B18" s="37">
        <f>Assumptions!B51</f>
        <v>1178</v>
      </c>
    </row>
    <row r="20" spans="1:5" ht="18" customHeight="1" x14ac:dyDescent="0.45">
      <c r="A20" s="15" t="s">
        <v>457</v>
      </c>
      <c r="B20" s="16"/>
      <c r="C20" s="16"/>
      <c r="D20" s="16"/>
      <c r="E20" s="16"/>
    </row>
    <row r="21" spans="1:5" ht="15" customHeight="1" x14ac:dyDescent="0.45">
      <c r="A21" s="22" t="s">
        <v>137</v>
      </c>
      <c r="B21" s="37">
        <f>Assumptions!B56</f>
        <v>11387289</v>
      </c>
    </row>
    <row r="22" spans="1:5" ht="15" customHeight="1" x14ac:dyDescent="0.45">
      <c r="A22" s="22" t="s">
        <v>458</v>
      </c>
      <c r="B22" s="28">
        <v>0</v>
      </c>
    </row>
    <row r="23" spans="1:5" ht="15" customHeight="1" x14ac:dyDescent="0.45">
      <c r="A23" s="22" t="s">
        <v>302</v>
      </c>
      <c r="B23" s="37">
        <f>Assumptions!B56</f>
        <v>11387289</v>
      </c>
    </row>
    <row r="25" spans="1:5" ht="18" customHeight="1" x14ac:dyDescent="0.45">
      <c r="A25" s="15" t="s">
        <v>459</v>
      </c>
      <c r="B25" s="16"/>
      <c r="C25" s="16"/>
      <c r="D25" s="16"/>
      <c r="E25" s="16"/>
    </row>
    <row r="26" spans="1:5" ht="15" customHeight="1" x14ac:dyDescent="0.45">
      <c r="A26" s="26" t="s">
        <v>460</v>
      </c>
      <c r="B26" s="26" t="s">
        <v>292</v>
      </c>
      <c r="C26" s="26" t="s">
        <v>461</v>
      </c>
      <c r="D26" s="26" t="s">
        <v>462</v>
      </c>
    </row>
    <row r="27" spans="1:5" ht="15" customHeight="1" x14ac:dyDescent="0.45">
      <c r="A27" s="22" t="s">
        <v>463</v>
      </c>
      <c r="B27" s="37">
        <f>Assumptions!B43</f>
        <v>23400000</v>
      </c>
      <c r="C27" s="29">
        <f>B27/SUM(B27:B29)</f>
        <v>0.65992036284113653</v>
      </c>
      <c r="D27" s="44">
        <v>0</v>
      </c>
    </row>
    <row r="28" spans="1:5" ht="15" customHeight="1" x14ac:dyDescent="0.45">
      <c r="A28" s="22" t="s">
        <v>464</v>
      </c>
      <c r="B28" s="37">
        <f>Assumptions!B52</f>
        <v>671535</v>
      </c>
      <c r="C28" s="29">
        <f>B28/SUM(B27:B29)</f>
        <v>1.8938445335919769E-2</v>
      </c>
      <c r="D28" s="44">
        <f>Assumptions!B48</f>
        <v>0.11</v>
      </c>
    </row>
    <row r="29" spans="1:5" ht="15" customHeight="1" x14ac:dyDescent="0.45">
      <c r="A29" s="22" t="s">
        <v>465</v>
      </c>
      <c r="B29" s="37">
        <f>Assumptions!B56</f>
        <v>11387289</v>
      </c>
      <c r="C29" s="29">
        <f>B29/SUM(B27:B29)</f>
        <v>0.32114119182294371</v>
      </c>
      <c r="D29" s="44">
        <f>Assumptions!B57</f>
        <v>0.08</v>
      </c>
    </row>
    <row r="30" spans="1:5" ht="15" customHeight="1" x14ac:dyDescent="0.45">
      <c r="A30" s="30" t="s">
        <v>466</v>
      </c>
      <c r="B30" s="30">
        <f>SUM(B27:B29)</f>
        <v>35458824</v>
      </c>
      <c r="C30" s="33">
        <f>1</f>
        <v>1</v>
      </c>
    </row>
    <row r="32" spans="1:5" ht="18" customHeight="1" x14ac:dyDescent="0.45">
      <c r="A32" s="15" t="s">
        <v>467</v>
      </c>
      <c r="B32" s="16"/>
      <c r="C32" s="16"/>
      <c r="D32" s="16"/>
      <c r="E32" s="16"/>
    </row>
    <row r="33" spans="1:2" ht="15" customHeight="1" x14ac:dyDescent="0.45">
      <c r="A33" s="22" t="s">
        <v>6</v>
      </c>
      <c r="B33" s="37">
        <f>Assumptions!E17</f>
        <v>39390437</v>
      </c>
    </row>
    <row r="34" spans="1:2" ht="15" customHeight="1" x14ac:dyDescent="0.45">
      <c r="A34" s="22" t="s">
        <v>468</v>
      </c>
      <c r="B34" s="37">
        <f>Assumptions!E17*(1-Assumptions!B60)</f>
        <v>37814819.519999996</v>
      </c>
    </row>
    <row r="35" spans="1:2" ht="15" customHeight="1" x14ac:dyDescent="0.45">
      <c r="A35" s="22" t="s">
        <v>469</v>
      </c>
      <c r="B35" s="37">
        <f>Assumptions!E17*(1-Assumptions!B60)+Assumptions!B56</f>
        <v>49202108.519999996</v>
      </c>
    </row>
    <row r="36" spans="1:2" ht="15" customHeight="1" x14ac:dyDescent="0.45">
      <c r="A36" s="22" t="s">
        <v>12</v>
      </c>
      <c r="B36" s="37">
        <f>'Dev Budget'!B30</f>
        <v>38058952</v>
      </c>
    </row>
    <row r="37" spans="1:2" ht="15" customHeight="1" x14ac:dyDescent="0.45">
      <c r="A37" s="22" t="s">
        <v>470</v>
      </c>
      <c r="B37" s="37">
        <f>Assumptions!E17*(1-Assumptions!B60)+Assumptions!B56-'Dev Budget'!B30</f>
        <v>11143156.519999996</v>
      </c>
    </row>
    <row r="38" spans="1:2" ht="15" customHeight="1" x14ac:dyDescent="0.45">
      <c r="A38" s="22" t="s">
        <v>471</v>
      </c>
      <c r="B38" s="34">
        <v>0.63600000000000001</v>
      </c>
    </row>
    <row r="39" spans="1:2" ht="15" customHeight="1" x14ac:dyDescent="0.45">
      <c r="A39" s="22" t="s">
        <v>472</v>
      </c>
      <c r="B39" s="64">
        <v>3.03</v>
      </c>
    </row>
    <row r="40" spans="1:2" ht="15" customHeight="1" x14ac:dyDescent="0.45">
      <c r="A40" s="22" t="s">
        <v>473</v>
      </c>
      <c r="B40" s="34">
        <v>0.39300000000000002</v>
      </c>
    </row>
    <row r="41" spans="1:2" ht="15" customHeight="1" x14ac:dyDescent="0.45">
      <c r="A41" s="22" t="s">
        <v>474</v>
      </c>
      <c r="B41" s="64">
        <v>2.11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showGridLines="0" zoomScaleNormal="100" workbookViewId="0">
      <selection sqref="A1:G1"/>
    </sheetView>
  </sheetViews>
  <sheetFormatPr defaultColWidth="8.6640625" defaultRowHeight="14.25" x14ac:dyDescent="0.45"/>
  <cols>
    <col min="1" max="1" width="32" customWidth="1"/>
    <col min="2" max="2" width="18" customWidth="1"/>
    <col min="3" max="7" width="14" customWidth="1"/>
  </cols>
  <sheetData>
    <row r="1" spans="1:7" ht="27.75" customHeight="1" x14ac:dyDescent="0.45">
      <c r="A1" s="7" t="s">
        <v>475</v>
      </c>
      <c r="B1" s="7"/>
      <c r="C1" s="7"/>
      <c r="D1" s="7"/>
      <c r="E1" s="7"/>
      <c r="F1" s="7"/>
      <c r="G1" s="7"/>
    </row>
    <row r="2" spans="1:7" ht="27.75" customHeight="1" x14ac:dyDescent="0.45">
      <c r="A2" s="6" t="s">
        <v>476</v>
      </c>
      <c r="B2" s="6"/>
      <c r="C2" s="6"/>
      <c r="D2" s="6"/>
      <c r="E2" s="6"/>
      <c r="F2" s="6"/>
      <c r="G2" s="6"/>
    </row>
    <row r="4" spans="1:7" ht="18" customHeight="1" x14ac:dyDescent="0.45">
      <c r="A4" s="15" t="s">
        <v>477</v>
      </c>
      <c r="B4" s="16"/>
      <c r="C4" s="16"/>
      <c r="D4" s="16"/>
    </row>
    <row r="5" spans="1:7" ht="15" customHeight="1" x14ac:dyDescent="0.45">
      <c r="A5" s="22" t="s">
        <v>478</v>
      </c>
      <c r="B5" s="37">
        <f>Assumptions!E17</f>
        <v>39390437</v>
      </c>
    </row>
    <row r="6" spans="1:7" ht="15" customHeight="1" x14ac:dyDescent="0.45">
      <c r="A6" s="22" t="s">
        <v>479</v>
      </c>
      <c r="B6" s="37">
        <f>-(Assumptions!B60*Assumptions!E17)</f>
        <v>-1575617.48</v>
      </c>
    </row>
    <row r="7" spans="1:7" ht="15" customHeight="1" x14ac:dyDescent="0.45">
      <c r="A7" s="22" t="s">
        <v>480</v>
      </c>
      <c r="B7" s="37">
        <f>Assumptions!E17*(1-Assumptions!B60)</f>
        <v>37814819.519999996</v>
      </c>
    </row>
    <row r="8" spans="1:7" ht="15" customHeight="1" x14ac:dyDescent="0.45">
      <c r="A8" s="22" t="s">
        <v>463</v>
      </c>
      <c r="B8" s="37">
        <f>Assumptions!B43</f>
        <v>23400000</v>
      </c>
    </row>
    <row r="9" spans="1:7" ht="15" customHeight="1" x14ac:dyDescent="0.45">
      <c r="A9" s="30" t="s">
        <v>481</v>
      </c>
      <c r="B9" s="30">
        <f>Assumptions!E17*(1-Assumptions!B60)+Assumptions!B43</f>
        <v>61214819.519999996</v>
      </c>
    </row>
    <row r="11" spans="1:7" ht="18" customHeight="1" x14ac:dyDescent="0.45">
      <c r="A11" s="15" t="s">
        <v>482</v>
      </c>
      <c r="B11" s="16"/>
      <c r="C11" s="16"/>
      <c r="D11" s="16"/>
    </row>
    <row r="12" spans="1:7" ht="15" customHeight="1" x14ac:dyDescent="0.45">
      <c r="A12" s="22" t="s">
        <v>315</v>
      </c>
      <c r="B12" s="37">
        <f>'Dev Budget'!B13</f>
        <v>23588700</v>
      </c>
    </row>
    <row r="13" spans="1:7" ht="15" customHeight="1" x14ac:dyDescent="0.45">
      <c r="A13" s="22" t="s">
        <v>324</v>
      </c>
      <c r="B13" s="37">
        <f>'Dev Budget'!B17</f>
        <v>1403000</v>
      </c>
    </row>
    <row r="14" spans="1:7" ht="15" customHeight="1" x14ac:dyDescent="0.45">
      <c r="A14" s="22" t="s">
        <v>483</v>
      </c>
      <c r="B14" s="37">
        <f>Assumptions!B56</f>
        <v>11387289</v>
      </c>
    </row>
    <row r="15" spans="1:7" ht="15" customHeight="1" x14ac:dyDescent="0.45">
      <c r="A15" s="22" t="s">
        <v>484</v>
      </c>
      <c r="B15" s="37">
        <f>'Dev Budget'!B19</f>
        <v>1249585</v>
      </c>
    </row>
    <row r="16" spans="1:7" ht="15" customHeight="1" x14ac:dyDescent="0.45">
      <c r="A16" s="22" t="s">
        <v>338</v>
      </c>
      <c r="B16" s="37">
        <f>'Dev Budget'!B27</f>
        <v>430378</v>
      </c>
    </row>
    <row r="17" spans="1:7" ht="15" customHeight="1" x14ac:dyDescent="0.45">
      <c r="A17" s="22" t="s">
        <v>485</v>
      </c>
      <c r="B17" s="37">
        <f>'Dev Budget'!B28</f>
        <v>1575617.48</v>
      </c>
    </row>
    <row r="18" spans="1:7" ht="15" customHeight="1" x14ac:dyDescent="0.45">
      <c r="A18" s="30" t="s">
        <v>486</v>
      </c>
      <c r="B18" s="30">
        <f>'Dev Budget'!B30</f>
        <v>38058952</v>
      </c>
    </row>
    <row r="20" spans="1:7" ht="18" customHeight="1" x14ac:dyDescent="0.45">
      <c r="A20" s="15" t="s">
        <v>487</v>
      </c>
      <c r="B20" s="16"/>
      <c r="C20" s="16"/>
      <c r="D20" s="16"/>
    </row>
    <row r="21" spans="1:7" ht="15" customHeight="1" x14ac:dyDescent="0.45">
      <c r="A21" s="65" t="s">
        <v>488</v>
      </c>
      <c r="B21" s="38">
        <f>Assumptions!E17*(1-Assumptions!B60)+Assumptions!B43-'Dev Budget'!B30</f>
        <v>23155867.519999996</v>
      </c>
    </row>
    <row r="22" spans="1:7" ht="15" customHeight="1" x14ac:dyDescent="0.45">
      <c r="A22" s="22" t="s">
        <v>489</v>
      </c>
      <c r="B22" s="38">
        <f>('Pro Forma'!B21)*Assumptions!B58</f>
        <v>11577933.759999998</v>
      </c>
    </row>
    <row r="23" spans="1:7" ht="15" customHeight="1" x14ac:dyDescent="0.45">
      <c r="A23" s="22" t="s">
        <v>490</v>
      </c>
      <c r="B23" s="38">
        <f>('Pro Forma'!B21)*Assumptions!B59</f>
        <v>11577933.759999998</v>
      </c>
    </row>
    <row r="25" spans="1:7" ht="18" customHeight="1" x14ac:dyDescent="0.45">
      <c r="A25" s="15" t="s">
        <v>491</v>
      </c>
      <c r="B25" s="16"/>
      <c r="C25" s="16"/>
      <c r="D25" s="16"/>
      <c r="E25" s="16"/>
      <c r="F25" s="16"/>
      <c r="G25" s="16"/>
    </row>
    <row r="26" spans="1:7" ht="15" customHeight="1" x14ac:dyDescent="0.45">
      <c r="A26" s="26" t="s">
        <v>76</v>
      </c>
      <c r="B26" s="26" t="s">
        <v>77</v>
      </c>
      <c r="C26" s="26" t="s">
        <v>3</v>
      </c>
      <c r="D26" s="26" t="s">
        <v>492</v>
      </c>
      <c r="E26" s="26" t="s">
        <v>79</v>
      </c>
      <c r="F26" s="26" t="s">
        <v>80</v>
      </c>
      <c r="G26" s="26" t="s">
        <v>493</v>
      </c>
    </row>
    <row r="27" spans="1:7" ht="15" customHeight="1" x14ac:dyDescent="0.45">
      <c r="A27" s="22" t="s">
        <v>217</v>
      </c>
      <c r="B27" s="43">
        <f>Assumptions!B14</f>
        <v>8</v>
      </c>
      <c r="C27" s="42">
        <f>Assumptions!C14</f>
        <v>27.6</v>
      </c>
      <c r="D27" s="31">
        <f>Assumptions!C14*43560</f>
        <v>1202256</v>
      </c>
      <c r="E27" s="45">
        <f>Assumptions!D14</f>
        <v>7.6529999999999996</v>
      </c>
      <c r="F27" s="37">
        <f>Assumptions!E14</f>
        <v>9190000</v>
      </c>
      <c r="G27" s="29">
        <f>F27/F30</f>
        <v>0.23330535784611883</v>
      </c>
    </row>
    <row r="28" spans="1:7" ht="15" customHeight="1" x14ac:dyDescent="0.45">
      <c r="A28" s="22" t="s">
        <v>218</v>
      </c>
      <c r="B28" s="43">
        <f>Assumptions!B15</f>
        <v>18</v>
      </c>
      <c r="C28" s="42">
        <f>Assumptions!C15</f>
        <v>23.5</v>
      </c>
      <c r="D28" s="31">
        <f>Assumptions!C15*43560</f>
        <v>1023660</v>
      </c>
      <c r="E28" s="45">
        <f>Assumptions!D15</f>
        <v>14.555999999999999</v>
      </c>
      <c r="F28" s="37">
        <f>Assumptions!E15</f>
        <v>14900000</v>
      </c>
      <c r="G28" s="29">
        <f>F28/F30</f>
        <v>0.37826439955464319</v>
      </c>
    </row>
    <row r="29" spans="1:7" ht="15" customHeight="1" x14ac:dyDescent="0.45">
      <c r="A29" s="22" t="s">
        <v>84</v>
      </c>
      <c r="B29" s="43">
        <f>Assumptions!B16</f>
        <v>4</v>
      </c>
      <c r="C29" s="42">
        <f>Assumptions!C16</f>
        <v>48.5</v>
      </c>
      <c r="D29" s="31">
        <f>Assumptions!C16*43560</f>
        <v>2112660</v>
      </c>
      <c r="E29" s="45">
        <f>Assumptions!D16</f>
        <v>7.242</v>
      </c>
      <c r="F29" s="37">
        <f>Assumptions!E16</f>
        <v>15300437</v>
      </c>
      <c r="G29" s="29">
        <f>F29/F30</f>
        <v>0.38843024259923797</v>
      </c>
    </row>
    <row r="30" spans="1:7" ht="15" customHeight="1" x14ac:dyDescent="0.45">
      <c r="A30" s="30" t="s">
        <v>219</v>
      </c>
      <c r="B30" s="46">
        <f>SUM(B27:B29)</f>
        <v>30</v>
      </c>
      <c r="C30" s="47">
        <f>SUM(C27:C29)</f>
        <v>99.6</v>
      </c>
      <c r="D30" s="46">
        <f>SUM(D27:D29)</f>
        <v>4338576</v>
      </c>
      <c r="F30" s="30">
        <f>SUM(F27:F29)</f>
        <v>39390437</v>
      </c>
      <c r="G30" s="33">
        <f>1</f>
        <v>1</v>
      </c>
    </row>
    <row r="32" spans="1:7" ht="18" customHeight="1" x14ac:dyDescent="0.45">
      <c r="A32" s="15" t="s">
        <v>494</v>
      </c>
      <c r="B32" s="16"/>
      <c r="C32" s="16"/>
      <c r="D32" s="16"/>
      <c r="E32" s="16"/>
      <c r="F32" s="16"/>
      <c r="G32" s="16"/>
    </row>
    <row r="33" spans="1:6" ht="15" customHeight="1" x14ac:dyDescent="0.45">
      <c r="A33" s="40" t="s">
        <v>495</v>
      </c>
    </row>
    <row r="34" spans="1:6" ht="15" customHeight="1" x14ac:dyDescent="0.45">
      <c r="A34" s="26" t="s">
        <v>76</v>
      </c>
      <c r="B34" s="26" t="s">
        <v>496</v>
      </c>
      <c r="C34" s="26" t="s">
        <v>497</v>
      </c>
      <c r="D34" s="26" t="s">
        <v>498</v>
      </c>
      <c r="E34" s="26" t="s">
        <v>5</v>
      </c>
      <c r="F34" s="26" t="s">
        <v>11</v>
      </c>
    </row>
    <row r="35" spans="1:6" ht="15" customHeight="1" x14ac:dyDescent="0.45">
      <c r="A35" s="22" t="s">
        <v>217</v>
      </c>
      <c r="B35" s="32">
        <f>Assumptions!B14/(Assumptions!B24-Assumptions!B23+1)</f>
        <v>0.44444444444444442</v>
      </c>
      <c r="C35" s="43">
        <f>Assumptions!B23</f>
        <v>5</v>
      </c>
      <c r="D35" s="43">
        <f>Assumptions!B24</f>
        <v>22</v>
      </c>
    </row>
    <row r="36" spans="1:6" ht="15" customHeight="1" x14ac:dyDescent="0.45">
      <c r="A36" s="22" t="s">
        <v>218</v>
      </c>
      <c r="B36" s="32">
        <f>Assumptions!B15/(Assumptions!B24-Assumptions!B23+1)</f>
        <v>1</v>
      </c>
      <c r="C36" s="43">
        <f>Assumptions!B23</f>
        <v>5</v>
      </c>
      <c r="D36" s="43">
        <f>Assumptions!B24</f>
        <v>22</v>
      </c>
    </row>
    <row r="37" spans="1:6" ht="15" customHeight="1" x14ac:dyDescent="0.45">
      <c r="A37" s="22" t="s">
        <v>84</v>
      </c>
      <c r="B37" s="32">
        <f>Assumptions!B16/(Assumptions!B24-Assumptions!B23+1)</f>
        <v>0.22222222222222221</v>
      </c>
      <c r="C37" s="43">
        <f>Assumptions!B23</f>
        <v>5</v>
      </c>
      <c r="D37" s="43">
        <f>Assumptions!B24</f>
        <v>22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showGridLines="0" zoomScaleNormal="100" workbookViewId="0">
      <selection sqref="A1:F1"/>
    </sheetView>
  </sheetViews>
  <sheetFormatPr defaultColWidth="8.6640625" defaultRowHeight="14.25" x14ac:dyDescent="0.45"/>
  <cols>
    <col min="1" max="1" width="35" customWidth="1"/>
    <col min="2" max="5" width="18" customWidth="1"/>
    <col min="6" max="6" width="22" customWidth="1"/>
  </cols>
  <sheetData>
    <row r="1" spans="1:6" ht="27.75" customHeight="1" x14ac:dyDescent="0.45">
      <c r="A1" s="7" t="s">
        <v>499</v>
      </c>
      <c r="B1" s="7"/>
      <c r="C1" s="7"/>
      <c r="D1" s="7"/>
      <c r="E1" s="7"/>
      <c r="F1" s="7"/>
    </row>
    <row r="2" spans="1:6" ht="27.75" customHeight="1" x14ac:dyDescent="0.45">
      <c r="A2" s="6" t="s">
        <v>500</v>
      </c>
      <c r="B2" s="6"/>
      <c r="C2" s="6"/>
      <c r="D2" s="6"/>
      <c r="E2" s="6"/>
      <c r="F2" s="6"/>
    </row>
    <row r="4" spans="1:6" ht="18" customHeight="1" x14ac:dyDescent="0.45">
      <c r="A4" s="15" t="s">
        <v>501</v>
      </c>
      <c r="B4" s="16"/>
      <c r="C4" s="16"/>
      <c r="D4" s="16"/>
      <c r="E4" s="16"/>
      <c r="F4" s="16"/>
    </row>
    <row r="5" spans="1:6" ht="15" customHeight="1" x14ac:dyDescent="0.45">
      <c r="A5" s="26"/>
      <c r="B5" s="26" t="s">
        <v>502</v>
      </c>
      <c r="C5" s="26" t="s">
        <v>503</v>
      </c>
      <c r="D5" s="26" t="s">
        <v>504</v>
      </c>
    </row>
    <row r="6" spans="1:6" ht="15" customHeight="1" x14ac:dyDescent="0.45">
      <c r="A6" s="22" t="s">
        <v>505</v>
      </c>
      <c r="B6" s="37">
        <f>Assumptions!B56</f>
        <v>11387289</v>
      </c>
      <c r="C6" s="28">
        <v>0</v>
      </c>
      <c r="D6" s="38">
        <f>B6+C6</f>
        <v>11387289</v>
      </c>
    </row>
    <row r="8" spans="1:6" ht="18" customHeight="1" x14ac:dyDescent="0.45">
      <c r="A8" s="15" t="s">
        <v>506</v>
      </c>
      <c r="B8" s="16"/>
      <c r="C8" s="16"/>
      <c r="D8" s="16"/>
      <c r="E8" s="16"/>
      <c r="F8" s="16"/>
    </row>
    <row r="9" spans="1:6" ht="15" customHeight="1" x14ac:dyDescent="0.45">
      <c r="A9" s="22" t="s">
        <v>507</v>
      </c>
      <c r="B9" s="38">
        <f>Assumptions!B56</f>
        <v>11387289</v>
      </c>
      <c r="C9" s="38">
        <f>0</f>
        <v>0</v>
      </c>
    </row>
    <row r="10" spans="1:6" ht="15" customHeight="1" x14ac:dyDescent="0.45">
      <c r="A10" s="22" t="s">
        <v>508</v>
      </c>
      <c r="B10" s="38">
        <f>Assumptions!B56*Assumptions!B57</f>
        <v>910983.12</v>
      </c>
      <c r="C10" s="38">
        <f>0</f>
        <v>0</v>
      </c>
      <c r="E10" s="40" t="s">
        <v>509</v>
      </c>
    </row>
    <row r="11" spans="1:6" ht="15" customHeight="1" x14ac:dyDescent="0.45">
      <c r="A11" s="22" t="s">
        <v>510</v>
      </c>
      <c r="B11" s="38">
        <f>0</f>
        <v>0</v>
      </c>
      <c r="C11" s="38">
        <f>'Dev Budget'!B19</f>
        <v>1249585</v>
      </c>
    </row>
    <row r="12" spans="1:6" ht="15" customHeight="1" x14ac:dyDescent="0.45">
      <c r="A12" s="22" t="s">
        <v>511</v>
      </c>
      <c r="E12" s="40" t="s">
        <v>512</v>
      </c>
    </row>
    <row r="13" spans="1:6" ht="15" customHeight="1" x14ac:dyDescent="0.45">
      <c r="A13" s="22" t="s">
        <v>513</v>
      </c>
      <c r="B13" s="38">
        <f>(Assumptions!E17*(1-Assumptions!B60)+Assumptions!B43-'Dev Budget'!B30)-Assumptions!B56-Assumptions!B56*Assumptions!B57</f>
        <v>10857595.399999997</v>
      </c>
    </row>
    <row r="14" spans="1:6" ht="15" customHeight="1" x14ac:dyDescent="0.45">
      <c r="A14" s="22" t="s">
        <v>514</v>
      </c>
      <c r="B14" s="38">
        <f>B13*Assumptions!B59</f>
        <v>5428797.6999999983</v>
      </c>
    </row>
    <row r="15" spans="1:6" ht="15" customHeight="1" x14ac:dyDescent="0.45">
      <c r="A15" s="22" t="s">
        <v>515</v>
      </c>
      <c r="C15" s="38">
        <f>B13*Assumptions!B58</f>
        <v>5428797.6999999983</v>
      </c>
    </row>
    <row r="17" spans="1:6" ht="18" customHeight="1" x14ac:dyDescent="0.45">
      <c r="A17" s="15" t="s">
        <v>516</v>
      </c>
      <c r="B17" s="16"/>
      <c r="C17" s="16"/>
      <c r="D17" s="16"/>
      <c r="E17" s="16"/>
      <c r="F17" s="16"/>
    </row>
    <row r="18" spans="1:6" ht="15" customHeight="1" x14ac:dyDescent="0.45">
      <c r="A18" s="26"/>
      <c r="B18" s="26" t="s">
        <v>502</v>
      </c>
      <c r="C18" s="26" t="s">
        <v>503</v>
      </c>
      <c r="D18" s="26" t="s">
        <v>504</v>
      </c>
    </row>
    <row r="19" spans="1:6" ht="15" customHeight="1" x14ac:dyDescent="0.45">
      <c r="A19" s="22" t="s">
        <v>517</v>
      </c>
      <c r="B19" s="38">
        <f>Assumptions!B56+Assumptions!B56*Assumptions!B57+B12*Assumptions!B59</f>
        <v>12298272.119999999</v>
      </c>
      <c r="C19" s="38">
        <f>'Dev Budget'!B19+B13*Assumptions!B58</f>
        <v>6678382.6999999983</v>
      </c>
      <c r="D19" s="38">
        <f>B19+C19</f>
        <v>18976654.819999997</v>
      </c>
    </row>
    <row r="20" spans="1:6" ht="15" customHeight="1" x14ac:dyDescent="0.45">
      <c r="A20" s="22" t="s">
        <v>518</v>
      </c>
      <c r="B20" s="38">
        <f>B19-Assumptions!B56</f>
        <v>910983.11999999918</v>
      </c>
      <c r="C20" s="38">
        <f>C19</f>
        <v>6678382.6999999983</v>
      </c>
      <c r="D20" s="38">
        <f>B20+C20</f>
        <v>7589365.8199999975</v>
      </c>
    </row>
    <row r="21" spans="1:6" ht="15" customHeight="1" x14ac:dyDescent="0.45">
      <c r="A21" s="22" t="s">
        <v>519</v>
      </c>
      <c r="B21" s="34">
        <v>0.39300000000000002</v>
      </c>
      <c r="C21" s="34">
        <v>0.63600000000000001</v>
      </c>
    </row>
    <row r="22" spans="1:6" ht="15" customHeight="1" x14ac:dyDescent="0.45">
      <c r="A22" s="22" t="s">
        <v>520</v>
      </c>
      <c r="B22" s="64">
        <v>2.11</v>
      </c>
      <c r="C22" s="64">
        <v>3.03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showGridLines="0" zoomScaleNormal="100" workbookViewId="0"/>
  </sheetViews>
  <sheetFormatPr defaultColWidth="8.6640625" defaultRowHeight="14.25" x14ac:dyDescent="0.45"/>
  <cols>
    <col min="1" max="1" width="35" customWidth="1"/>
    <col min="2" max="2" width="20" customWidth="1"/>
    <col min="3" max="3" width="16" customWidth="1"/>
    <col min="4" max="4" width="4" customWidth="1"/>
    <col min="5" max="5" width="35" customWidth="1"/>
    <col min="6" max="6" width="20" customWidth="1"/>
    <col min="7" max="7" width="16" customWidth="1"/>
  </cols>
  <sheetData>
    <row r="1" spans="1:7" ht="27.75" customHeight="1" x14ac:dyDescent="0.45">
      <c r="A1" s="7" t="s">
        <v>521</v>
      </c>
      <c r="B1" s="7"/>
      <c r="C1" s="7"/>
      <c r="D1" s="7"/>
      <c r="E1" s="7"/>
      <c r="F1" s="7"/>
      <c r="G1" s="7"/>
    </row>
    <row r="2" spans="1:7" ht="27.75" customHeight="1" x14ac:dyDescent="0.45">
      <c r="A2" s="6" t="s">
        <v>522</v>
      </c>
      <c r="B2" s="6"/>
      <c r="C2" s="6"/>
      <c r="D2" s="6"/>
      <c r="E2" s="6"/>
      <c r="F2" s="6"/>
      <c r="G2" s="6"/>
    </row>
    <row r="4" spans="1:7" ht="18" customHeight="1" x14ac:dyDescent="0.45">
      <c r="A4" s="15" t="s">
        <v>523</v>
      </c>
      <c r="B4" s="16"/>
      <c r="C4" s="16"/>
      <c r="E4" s="15" t="s">
        <v>524</v>
      </c>
      <c r="F4" s="16"/>
      <c r="G4" s="16"/>
    </row>
    <row r="5" spans="1:7" ht="15" customHeight="1" x14ac:dyDescent="0.45">
      <c r="A5" s="26" t="s">
        <v>525</v>
      </c>
      <c r="B5" s="26" t="s">
        <v>292</v>
      </c>
      <c r="C5" s="26" t="s">
        <v>223</v>
      </c>
      <c r="E5" s="26" t="s">
        <v>525</v>
      </c>
      <c r="F5" s="26" t="s">
        <v>292</v>
      </c>
      <c r="G5" s="26" t="s">
        <v>223</v>
      </c>
    </row>
    <row r="6" spans="1:7" ht="15" customHeight="1" x14ac:dyDescent="0.45">
      <c r="A6" s="22" t="s">
        <v>526</v>
      </c>
      <c r="B6" s="24">
        <v>18</v>
      </c>
      <c r="C6" s="40" t="s">
        <v>527</v>
      </c>
      <c r="E6" s="22" t="s">
        <v>528</v>
      </c>
      <c r="F6" s="31">
        <f>Assumptions!B22</f>
        <v>50</v>
      </c>
      <c r="G6" s="40" t="s">
        <v>529</v>
      </c>
    </row>
    <row r="7" spans="1:7" ht="15" customHeight="1" x14ac:dyDescent="0.45">
      <c r="A7" s="22" t="s">
        <v>530</v>
      </c>
      <c r="B7" s="38">
        <f>Assumptions!B56</f>
        <v>11387289</v>
      </c>
      <c r="C7" s="40" t="s">
        <v>531</v>
      </c>
      <c r="E7" s="22" t="s">
        <v>330</v>
      </c>
      <c r="F7" s="38">
        <f>Assumptions!E17*(1-Assumptions!B60)+Assumptions!B43</f>
        <v>61214819.519999996</v>
      </c>
      <c r="G7" s="40" t="s">
        <v>532</v>
      </c>
    </row>
    <row r="8" spans="1:7" ht="15" customHeight="1" x14ac:dyDescent="0.45">
      <c r="A8" s="22" t="s">
        <v>533</v>
      </c>
      <c r="B8" s="38">
        <f>Assumptions!B56*Assumptions!B57*(18/12)</f>
        <v>1366474.68</v>
      </c>
      <c r="C8" s="40" t="s">
        <v>534</v>
      </c>
      <c r="E8" s="22" t="s">
        <v>535</v>
      </c>
      <c r="F8" s="38">
        <f>'Dev Budget'!B30</f>
        <v>38058952</v>
      </c>
      <c r="G8" s="40" t="s">
        <v>536</v>
      </c>
    </row>
    <row r="9" spans="1:7" ht="15" customHeight="1" x14ac:dyDescent="0.45">
      <c r="A9" s="22" t="s">
        <v>537</v>
      </c>
      <c r="B9" s="38">
        <f>Assumptions!B56+Assumptions!B56*Assumptions!B57*(18/12)</f>
        <v>12753763.68</v>
      </c>
      <c r="C9" s="40"/>
      <c r="E9" s="22" t="s">
        <v>538</v>
      </c>
      <c r="F9" s="38">
        <f>F7-F8</f>
        <v>23155867.519999996</v>
      </c>
      <c r="G9" s="40"/>
    </row>
    <row r="10" spans="1:7" ht="15" customHeight="1" x14ac:dyDescent="0.45">
      <c r="A10" s="22" t="s">
        <v>539</v>
      </c>
      <c r="B10" s="38">
        <f>Assumptions!E16*(1-Assumptions!B60)+Assumptions!B56-'Dev Budget'!B30-B9</f>
        <v>-24737007.16</v>
      </c>
      <c r="C10" s="40" t="s">
        <v>540</v>
      </c>
      <c r="E10" s="22" t="s">
        <v>541</v>
      </c>
      <c r="F10" s="38">
        <f>F9*Assumptions!B58</f>
        <v>11577933.759999998</v>
      </c>
      <c r="G10" s="40"/>
    </row>
    <row r="11" spans="1:7" ht="15" customHeight="1" x14ac:dyDescent="0.45">
      <c r="E11" s="22" t="s">
        <v>542</v>
      </c>
      <c r="F11" s="38">
        <f>F9*Assumptions!B59</f>
        <v>11577933.759999998</v>
      </c>
      <c r="G11" s="40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showGridLines="0" zoomScaleNormal="100" workbookViewId="0">
      <selection sqref="A1:G1"/>
    </sheetView>
  </sheetViews>
  <sheetFormatPr defaultColWidth="8.6640625" defaultRowHeight="14.25" x14ac:dyDescent="0.45"/>
  <cols>
    <col min="1" max="1" width="35" customWidth="1"/>
    <col min="2" max="7" width="18" customWidth="1"/>
  </cols>
  <sheetData>
    <row r="1" spans="1:7" ht="27.75" customHeight="1" x14ac:dyDescent="0.45">
      <c r="A1" s="7" t="s">
        <v>543</v>
      </c>
      <c r="B1" s="7"/>
      <c r="C1" s="7"/>
      <c r="D1" s="7"/>
      <c r="E1" s="7"/>
      <c r="F1" s="7"/>
      <c r="G1" s="7"/>
    </row>
    <row r="2" spans="1:7" ht="27.75" customHeight="1" x14ac:dyDescent="0.45">
      <c r="A2" s="6" t="s">
        <v>544</v>
      </c>
      <c r="B2" s="6"/>
      <c r="C2" s="6"/>
      <c r="D2" s="6"/>
      <c r="E2" s="6"/>
      <c r="F2" s="6"/>
      <c r="G2" s="6"/>
    </row>
    <row r="4" spans="1:7" ht="18" customHeight="1" x14ac:dyDescent="0.45">
      <c r="A4" s="15" t="s">
        <v>545</v>
      </c>
      <c r="B4" s="16"/>
      <c r="C4" s="16"/>
      <c r="D4" s="16"/>
      <c r="E4" s="16"/>
      <c r="F4" s="16"/>
      <c r="G4" s="16"/>
    </row>
    <row r="5" spans="1:7" ht="15" customHeight="1" x14ac:dyDescent="0.45">
      <c r="A5" s="26"/>
      <c r="B5" s="26" t="s">
        <v>546</v>
      </c>
      <c r="C5" s="26" t="s">
        <v>547</v>
      </c>
      <c r="D5" s="26" t="s">
        <v>548</v>
      </c>
    </row>
    <row r="6" spans="1:7" ht="15" customHeight="1" x14ac:dyDescent="0.45">
      <c r="A6" s="66" t="s">
        <v>549</v>
      </c>
    </row>
    <row r="7" spans="1:7" ht="15" customHeight="1" x14ac:dyDescent="0.45">
      <c r="A7" s="22" t="s">
        <v>550</v>
      </c>
      <c r="B7" s="38">
        <f>Assumptions!B56</f>
        <v>11387289</v>
      </c>
      <c r="C7" s="38">
        <f>Assumptions!B56</f>
        <v>11387289</v>
      </c>
      <c r="D7" s="38">
        <f>0</f>
        <v>0</v>
      </c>
    </row>
    <row r="8" spans="1:7" ht="15" customHeight="1" x14ac:dyDescent="0.45">
      <c r="A8" s="22" t="s">
        <v>551</v>
      </c>
      <c r="B8" s="38">
        <f>0</f>
        <v>0</v>
      </c>
      <c r="C8" s="38">
        <f>'Dev Budget'!B13*0.5</f>
        <v>11794350</v>
      </c>
      <c r="D8" s="38">
        <f>0</f>
        <v>0</v>
      </c>
    </row>
    <row r="9" spans="1:7" ht="15" customHeight="1" x14ac:dyDescent="0.45">
      <c r="A9" s="22" t="s">
        <v>552</v>
      </c>
      <c r="B9" s="38">
        <f>0</f>
        <v>0</v>
      </c>
      <c r="C9" s="38">
        <f>Assumptions!B43*0.5</f>
        <v>11700000</v>
      </c>
      <c r="D9" s="38">
        <f>Assumptions!B43</f>
        <v>23400000</v>
      </c>
    </row>
    <row r="10" spans="1:7" ht="15" customHeight="1" x14ac:dyDescent="0.45">
      <c r="A10" s="22" t="s">
        <v>553</v>
      </c>
      <c r="B10" s="38">
        <f>0</f>
        <v>0</v>
      </c>
      <c r="C10" s="38">
        <f>Assumptions!E16*0.5</f>
        <v>7650218.5</v>
      </c>
      <c r="D10" s="38">
        <f>0</f>
        <v>0</v>
      </c>
    </row>
    <row r="11" spans="1:7" ht="15" customHeight="1" x14ac:dyDescent="0.45">
      <c r="A11" s="30" t="s">
        <v>554</v>
      </c>
      <c r="B11" s="30">
        <f>SUM(B7:B10)</f>
        <v>11387289</v>
      </c>
      <c r="C11" s="30">
        <f>SUM(C7:C10)</f>
        <v>42531857.5</v>
      </c>
      <c r="D11" s="30">
        <f>SUM(D7:D10)</f>
        <v>23400000</v>
      </c>
    </row>
    <row r="13" spans="1:7" ht="15" customHeight="1" x14ac:dyDescent="0.45">
      <c r="A13" s="66" t="s">
        <v>555</v>
      </c>
    </row>
    <row r="14" spans="1:7" ht="15" customHeight="1" x14ac:dyDescent="0.45">
      <c r="A14" s="22" t="s">
        <v>464</v>
      </c>
      <c r="B14" s="38">
        <f>0</f>
        <v>0</v>
      </c>
      <c r="C14" s="38">
        <f>Assumptions!B52*0.5</f>
        <v>335767.5</v>
      </c>
      <c r="D14" s="38">
        <f>0</f>
        <v>0</v>
      </c>
    </row>
    <row r="15" spans="1:7" ht="15" customHeight="1" x14ac:dyDescent="0.45">
      <c r="A15" s="22" t="s">
        <v>556</v>
      </c>
      <c r="B15" s="38">
        <f>0</f>
        <v>0</v>
      </c>
      <c r="C15" s="38">
        <f>Assumptions!B56*Assumptions!B57*(Assumptions!B24*0.5/12)</f>
        <v>835067.86</v>
      </c>
      <c r="D15" s="38">
        <f>Assumptions!B56*Assumptions!B57*(Assumptions!B24/12)</f>
        <v>1670135.72</v>
      </c>
    </row>
    <row r="16" spans="1:7" ht="15" customHeight="1" x14ac:dyDescent="0.45">
      <c r="A16" s="30" t="s">
        <v>557</v>
      </c>
      <c r="B16" s="30">
        <f>B14+B13</f>
        <v>0</v>
      </c>
      <c r="C16" s="30">
        <f>C14+C13</f>
        <v>335767.5</v>
      </c>
      <c r="D16" s="30">
        <f>D14+D13</f>
        <v>0</v>
      </c>
    </row>
    <row r="18" spans="1:4" ht="15" customHeight="1" x14ac:dyDescent="0.45">
      <c r="A18" s="66" t="s">
        <v>558</v>
      </c>
    </row>
    <row r="19" spans="1:4" ht="15" customHeight="1" x14ac:dyDescent="0.45">
      <c r="A19" s="22" t="s">
        <v>559</v>
      </c>
      <c r="B19" s="38">
        <f>Assumptions!B56</f>
        <v>11387289</v>
      </c>
    </row>
    <row r="20" spans="1:4" ht="15" customHeight="1" x14ac:dyDescent="0.45">
      <c r="A20" s="22" t="s">
        <v>560</v>
      </c>
      <c r="B20" s="38">
        <f>0</f>
        <v>0</v>
      </c>
    </row>
    <row r="21" spans="1:4" ht="15" customHeight="1" x14ac:dyDescent="0.45">
      <c r="A21" s="22" t="s">
        <v>561</v>
      </c>
      <c r="B21" s="38">
        <f>0</f>
        <v>0</v>
      </c>
    </row>
    <row r="22" spans="1:4" ht="15" customHeight="1" x14ac:dyDescent="0.45">
      <c r="A22" s="30" t="s">
        <v>562</v>
      </c>
      <c r="B22" s="30">
        <f>B20+B19</f>
        <v>11387289</v>
      </c>
      <c r="C22" s="30">
        <f>C20+C19</f>
        <v>0</v>
      </c>
      <c r="D22" s="30">
        <f>D20+D19</f>
        <v>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6"/>
  <sheetViews>
    <sheetView showGridLines="0" zoomScaleNormal="100" workbookViewId="0">
      <selection sqref="A1:E1"/>
    </sheetView>
  </sheetViews>
  <sheetFormatPr defaultColWidth="8.6640625" defaultRowHeight="14.25" x14ac:dyDescent="0.45"/>
  <cols>
    <col min="1" max="1" width="38" customWidth="1"/>
    <col min="2" max="2" width="18" customWidth="1"/>
    <col min="3" max="4" width="14" customWidth="1"/>
    <col min="5" max="5" width="22" customWidth="1"/>
  </cols>
  <sheetData>
    <row r="1" spans="1:5" ht="27.75" customHeight="1" x14ac:dyDescent="0.45">
      <c r="A1" s="7" t="s">
        <v>563</v>
      </c>
      <c r="B1" s="7"/>
      <c r="C1" s="7"/>
      <c r="D1" s="7"/>
      <c r="E1" s="7"/>
    </row>
    <row r="2" spans="1:5" ht="27.75" customHeight="1" x14ac:dyDescent="0.45">
      <c r="A2" s="6" t="s">
        <v>564</v>
      </c>
      <c r="B2" s="6"/>
      <c r="C2" s="6"/>
      <c r="D2" s="6"/>
      <c r="E2" s="6"/>
    </row>
    <row r="4" spans="1:5" ht="18" customHeight="1" x14ac:dyDescent="0.45">
      <c r="A4" s="15" t="s">
        <v>565</v>
      </c>
      <c r="B4" s="16"/>
      <c r="C4" s="16"/>
    </row>
    <row r="5" spans="1:5" ht="15" customHeight="1" x14ac:dyDescent="0.45">
      <c r="A5" s="22" t="s">
        <v>566</v>
      </c>
      <c r="B5" s="37">
        <f>Assumptions!E17</f>
        <v>39390437</v>
      </c>
    </row>
    <row r="6" spans="1:5" ht="15" customHeight="1" x14ac:dyDescent="0.45">
      <c r="A6" s="22" t="s">
        <v>567</v>
      </c>
      <c r="B6" s="37">
        <f>-(Assumptions!B60*Assumptions!E17)</f>
        <v>-1575617.48</v>
      </c>
    </row>
    <row r="7" spans="1:5" ht="15" customHeight="1" x14ac:dyDescent="0.45">
      <c r="A7" s="22" t="s">
        <v>480</v>
      </c>
      <c r="B7" s="37">
        <f>Assumptions!E17*(1-Assumptions!B60)</f>
        <v>37814819.519999996</v>
      </c>
    </row>
    <row r="8" spans="1:5" ht="15" customHeight="1" x14ac:dyDescent="0.45">
      <c r="A8" s="22" t="s">
        <v>463</v>
      </c>
      <c r="B8" s="37">
        <f>Assumptions!B43</f>
        <v>23400000</v>
      </c>
    </row>
    <row r="9" spans="1:5" ht="15" customHeight="1" x14ac:dyDescent="0.45">
      <c r="A9" s="30" t="s">
        <v>481</v>
      </c>
      <c r="B9" s="30">
        <f>Assumptions!E17*(1-Assumptions!B60)+Assumptions!B43</f>
        <v>61214819.519999996</v>
      </c>
    </row>
    <row r="11" spans="1:5" ht="18" customHeight="1" x14ac:dyDescent="0.45">
      <c r="A11" s="15" t="s">
        <v>568</v>
      </c>
      <c r="B11" s="16"/>
      <c r="C11" s="16"/>
    </row>
    <row r="12" spans="1:5" ht="15" customHeight="1" x14ac:dyDescent="0.45">
      <c r="A12" s="22" t="s">
        <v>97</v>
      </c>
      <c r="B12" s="37">
        <f>Assumptions!B29</f>
        <v>1993000</v>
      </c>
    </row>
    <row r="13" spans="1:5" ht="15" customHeight="1" x14ac:dyDescent="0.45">
      <c r="A13" s="22" t="s">
        <v>98</v>
      </c>
      <c r="B13" s="37">
        <f>Assumptions!B30</f>
        <v>3432000</v>
      </c>
    </row>
    <row r="14" spans="1:5" ht="15" customHeight="1" x14ac:dyDescent="0.45">
      <c r="A14" s="22" t="s">
        <v>99</v>
      </c>
      <c r="B14" s="37">
        <f>Assumptions!B31</f>
        <v>12527000</v>
      </c>
    </row>
    <row r="15" spans="1:5" ht="15" customHeight="1" x14ac:dyDescent="0.45">
      <c r="A15" s="22" t="s">
        <v>100</v>
      </c>
      <c r="B15" s="37">
        <f>Assumptions!B32</f>
        <v>5098000</v>
      </c>
    </row>
    <row r="16" spans="1:5" ht="15" customHeight="1" x14ac:dyDescent="0.45">
      <c r="A16" s="22" t="s">
        <v>101</v>
      </c>
      <c r="B16" s="37">
        <f>Assumptions!B33</f>
        <v>262000</v>
      </c>
    </row>
    <row r="17" spans="1:3" ht="15" customHeight="1" x14ac:dyDescent="0.45">
      <c r="A17" s="22" t="s">
        <v>405</v>
      </c>
      <c r="B17" s="37">
        <f>Assumptions!B34</f>
        <v>276700</v>
      </c>
    </row>
    <row r="18" spans="1:3" ht="15" customHeight="1" x14ac:dyDescent="0.45">
      <c r="A18" s="30" t="s">
        <v>569</v>
      </c>
      <c r="B18" s="30">
        <f>Assumptions!B35</f>
        <v>23588700</v>
      </c>
    </row>
    <row r="20" spans="1:3" ht="18" customHeight="1" x14ac:dyDescent="0.45">
      <c r="A20" s="15" t="s">
        <v>104</v>
      </c>
      <c r="B20" s="16"/>
      <c r="C20" s="16"/>
    </row>
    <row r="21" spans="1:3" ht="15" customHeight="1" x14ac:dyDescent="0.45">
      <c r="A21" s="22" t="s">
        <v>105</v>
      </c>
      <c r="B21" s="37">
        <f>Assumptions!B38</f>
        <v>1320000</v>
      </c>
    </row>
    <row r="22" spans="1:3" ht="15" customHeight="1" x14ac:dyDescent="0.45">
      <c r="A22" s="22" t="s">
        <v>106</v>
      </c>
      <c r="B22" s="37">
        <f>Assumptions!B39</f>
        <v>83000</v>
      </c>
    </row>
    <row r="23" spans="1:3" ht="15" customHeight="1" x14ac:dyDescent="0.45">
      <c r="A23" s="30" t="s">
        <v>165</v>
      </c>
      <c r="B23" s="30">
        <f>Assumptions!B40</f>
        <v>1403000</v>
      </c>
    </row>
    <row r="25" spans="1:3" ht="18" customHeight="1" x14ac:dyDescent="0.45">
      <c r="A25" s="15" t="s">
        <v>570</v>
      </c>
      <c r="B25" s="16"/>
      <c r="C25" s="16"/>
    </row>
    <row r="26" spans="1:3" ht="15" customHeight="1" x14ac:dyDescent="0.45">
      <c r="A26" s="22" t="s">
        <v>483</v>
      </c>
      <c r="B26" s="37">
        <f>Assumptions!B56</f>
        <v>11387289</v>
      </c>
    </row>
    <row r="27" spans="1:3" ht="15" customHeight="1" x14ac:dyDescent="0.45">
      <c r="A27" s="22" t="s">
        <v>484</v>
      </c>
      <c r="B27" s="37">
        <f>'Dev Budget'!B19</f>
        <v>1249585</v>
      </c>
    </row>
    <row r="28" spans="1:3" ht="15" customHeight="1" x14ac:dyDescent="0.45">
      <c r="A28" s="22" t="s">
        <v>571</v>
      </c>
      <c r="B28" s="37">
        <f>'Dev Budget'!B27</f>
        <v>430378</v>
      </c>
    </row>
    <row r="29" spans="1:3" ht="15" customHeight="1" x14ac:dyDescent="0.45">
      <c r="A29" s="30" t="s">
        <v>572</v>
      </c>
      <c r="B29" s="30">
        <f>Assumptions!B56+'Dev Budget'!B19+'Dev Budget'!B27</f>
        <v>13067252</v>
      </c>
    </row>
    <row r="31" spans="1:3" ht="15" customHeight="1" x14ac:dyDescent="0.45">
      <c r="A31" s="30" t="s">
        <v>573</v>
      </c>
      <c r="B31" s="30">
        <f>B9-B18-B23</f>
        <v>36223119.519999996</v>
      </c>
    </row>
    <row r="33" spans="1:3" ht="18" customHeight="1" x14ac:dyDescent="0.45">
      <c r="A33" s="15" t="s">
        <v>574</v>
      </c>
      <c r="B33" s="16"/>
      <c r="C33" s="16"/>
    </row>
    <row r="34" spans="1:3" ht="15" customHeight="1" x14ac:dyDescent="0.45">
      <c r="A34" s="22" t="s">
        <v>181</v>
      </c>
      <c r="B34" s="37">
        <f>Assumptions!B53</f>
        <v>25800</v>
      </c>
    </row>
    <row r="35" spans="1:3" ht="15" customHeight="1" x14ac:dyDescent="0.45">
      <c r="A35" s="22" t="s">
        <v>455</v>
      </c>
      <c r="B35" s="37">
        <f>Assumptions!B49</f>
        <v>6700</v>
      </c>
    </row>
    <row r="36" spans="1:3" ht="15" customHeight="1" x14ac:dyDescent="0.45">
      <c r="A36" s="22" t="s">
        <v>432</v>
      </c>
      <c r="B36" s="37">
        <f>Assumptions!B50</f>
        <v>6700</v>
      </c>
    </row>
    <row r="37" spans="1:3" ht="15" customHeight="1" x14ac:dyDescent="0.45">
      <c r="A37" s="22" t="s">
        <v>433</v>
      </c>
      <c r="B37" s="37">
        <f>Assumptions!B44</f>
        <v>240000</v>
      </c>
    </row>
    <row r="38" spans="1:3" ht="15" customHeight="1" x14ac:dyDescent="0.45">
      <c r="A38" s="22" t="s">
        <v>434</v>
      </c>
      <c r="B38" s="37">
        <f>Assumptions!B45</f>
        <v>150000</v>
      </c>
    </row>
    <row r="39" spans="1:3" ht="15" customHeight="1" x14ac:dyDescent="0.45">
      <c r="A39" s="22" t="s">
        <v>435</v>
      </c>
      <c r="B39" s="37">
        <f>Assumptions!B51</f>
        <v>1178</v>
      </c>
    </row>
    <row r="40" spans="1:3" ht="15" customHeight="1" x14ac:dyDescent="0.45">
      <c r="A40" s="30" t="s">
        <v>575</v>
      </c>
      <c r="B40" s="30">
        <f>'Dev Budget'!B27</f>
        <v>430378</v>
      </c>
    </row>
    <row r="42" spans="1:3" ht="15" customHeight="1" x14ac:dyDescent="0.45">
      <c r="A42" s="30" t="s">
        <v>576</v>
      </c>
      <c r="B42" s="67">
        <f>B9-'Dev Budget'!B30</f>
        <v>23155867.519999996</v>
      </c>
    </row>
    <row r="44" spans="1:3" ht="18" customHeight="1" x14ac:dyDescent="0.45">
      <c r="A44" s="15" t="s">
        <v>577</v>
      </c>
      <c r="B44" s="16"/>
      <c r="C44" s="16"/>
    </row>
    <row r="45" spans="1:3" ht="15" customHeight="1" x14ac:dyDescent="0.45">
      <c r="A45" s="22" t="s">
        <v>578</v>
      </c>
      <c r="B45" s="38">
        <f>Assumptions!B56+Assumptions!B56*Assumptions!B57+B42*Assumptions!B59*0.5</f>
        <v>18087239</v>
      </c>
    </row>
    <row r="46" spans="1:3" ht="15" customHeight="1" x14ac:dyDescent="0.45">
      <c r="A46" s="22" t="s">
        <v>579</v>
      </c>
      <c r="B46" s="38">
        <f>'Dev Budget'!B19+B42*Assumptions!B58*0.5</f>
        <v>7038551.879999999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1"/>
  <sheetViews>
    <sheetView showGridLines="0" zoomScaleNormal="100" workbookViewId="0"/>
  </sheetViews>
  <sheetFormatPr defaultColWidth="8.6640625" defaultRowHeight="14.25" x14ac:dyDescent="0.45"/>
  <cols>
    <col min="1" max="1" width="22" customWidth="1"/>
    <col min="2" max="10" width="14" customWidth="1"/>
  </cols>
  <sheetData>
    <row r="1" spans="1:10" ht="27.75" customHeight="1" x14ac:dyDescent="0.45">
      <c r="A1" s="7" t="s">
        <v>580</v>
      </c>
      <c r="B1" s="7"/>
      <c r="C1" s="7"/>
      <c r="D1" s="7"/>
      <c r="E1" s="7"/>
      <c r="F1" s="7"/>
      <c r="G1" s="7"/>
      <c r="H1" s="7"/>
      <c r="I1" s="7"/>
      <c r="J1" s="7"/>
    </row>
    <row r="2" spans="1:10" ht="27.75" customHeight="1" x14ac:dyDescent="0.45">
      <c r="A2" s="6" t="s">
        <v>581</v>
      </c>
      <c r="B2" s="6"/>
      <c r="C2" s="6"/>
      <c r="D2" s="6"/>
      <c r="E2" s="6"/>
      <c r="F2" s="6"/>
      <c r="G2" s="6"/>
      <c r="H2" s="6"/>
      <c r="I2" s="6"/>
      <c r="J2" s="6"/>
    </row>
    <row r="4" spans="1:10" ht="18" customHeight="1" x14ac:dyDescent="0.45">
      <c r="A4" s="15" t="s">
        <v>582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5" customHeight="1" x14ac:dyDescent="0.45">
      <c r="A5" s="22" t="s">
        <v>583</v>
      </c>
      <c r="B5" s="26" t="s">
        <v>584</v>
      </c>
      <c r="C5" s="26" t="s">
        <v>585</v>
      </c>
      <c r="D5" s="26" t="s">
        <v>586</v>
      </c>
      <c r="E5" s="26" t="s">
        <v>587</v>
      </c>
      <c r="F5" s="26" t="s">
        <v>588</v>
      </c>
      <c r="G5" s="26" t="s">
        <v>589</v>
      </c>
      <c r="H5" s="26" t="s">
        <v>590</v>
      </c>
      <c r="I5" s="26" t="s">
        <v>591</v>
      </c>
      <c r="J5" s="26" t="s">
        <v>592</v>
      </c>
    </row>
    <row r="6" spans="1:10" ht="15" customHeight="1" x14ac:dyDescent="0.45">
      <c r="A6" s="26" t="s">
        <v>593</v>
      </c>
    </row>
    <row r="7" spans="1:10" ht="15" customHeight="1" x14ac:dyDescent="0.45">
      <c r="A7" s="22" t="s">
        <v>594</v>
      </c>
      <c r="B7" s="68">
        <v>10248118</v>
      </c>
      <c r="C7" s="68">
        <v>9009711.25</v>
      </c>
      <c r="D7" s="68">
        <v>7771304.5</v>
      </c>
      <c r="E7" s="68">
        <v>6532897.75</v>
      </c>
      <c r="F7" s="68">
        <v>5294491</v>
      </c>
      <c r="G7" s="68">
        <v>4056084.25</v>
      </c>
      <c r="H7" s="68">
        <v>2817677.5</v>
      </c>
      <c r="I7" s="68">
        <v>1579270.75</v>
      </c>
      <c r="J7" s="68">
        <v>340864</v>
      </c>
    </row>
    <row r="8" spans="1:10" ht="15" customHeight="1" x14ac:dyDescent="0.45">
      <c r="A8" s="22" t="s">
        <v>595</v>
      </c>
      <c r="B8" s="68">
        <v>12243462.300000001</v>
      </c>
      <c r="C8" s="68">
        <v>11005055.550000001</v>
      </c>
      <c r="D8" s="68">
        <v>9766648.8000000007</v>
      </c>
      <c r="E8" s="68">
        <v>8528242.0500000007</v>
      </c>
      <c r="F8" s="68">
        <v>7289835.2999999998</v>
      </c>
      <c r="G8" s="68">
        <v>6051428.5499999998</v>
      </c>
      <c r="H8" s="68">
        <v>4813021.8</v>
      </c>
      <c r="I8" s="68">
        <v>3574615.05</v>
      </c>
      <c r="J8" s="68">
        <v>2336208.2999999998</v>
      </c>
    </row>
    <row r="9" spans="1:10" ht="15" customHeight="1" x14ac:dyDescent="0.45">
      <c r="A9" s="22" t="s">
        <v>596</v>
      </c>
      <c r="B9" s="68">
        <v>14238806.6</v>
      </c>
      <c r="C9" s="68">
        <v>13000399.85</v>
      </c>
      <c r="D9" s="68">
        <v>11761993.1</v>
      </c>
      <c r="E9" s="68">
        <v>10523586.35</v>
      </c>
      <c r="F9" s="68">
        <v>9285179.5999999996</v>
      </c>
      <c r="G9" s="68">
        <v>8046772.8499999996</v>
      </c>
      <c r="H9" s="68">
        <v>6808366.0999999903</v>
      </c>
      <c r="I9" s="68">
        <v>5569959.3499999996</v>
      </c>
      <c r="J9" s="68">
        <v>4331552.5999999996</v>
      </c>
    </row>
    <row r="10" spans="1:10" ht="15" customHeight="1" x14ac:dyDescent="0.45">
      <c r="A10" s="22" t="s">
        <v>597</v>
      </c>
      <c r="B10" s="68">
        <v>16234150.9</v>
      </c>
      <c r="C10" s="68">
        <v>14995744.15</v>
      </c>
      <c r="D10" s="68">
        <v>13757337.4</v>
      </c>
      <c r="E10" s="68">
        <v>12518930.65</v>
      </c>
      <c r="F10" s="68">
        <v>11280523.9</v>
      </c>
      <c r="G10" s="68">
        <v>10042117.15</v>
      </c>
      <c r="H10" s="68">
        <v>8803710.4000000004</v>
      </c>
      <c r="I10" s="68">
        <v>7565303.6500000097</v>
      </c>
      <c r="J10" s="68">
        <v>6326896.9000000004</v>
      </c>
    </row>
    <row r="11" spans="1:10" ht="15" customHeight="1" x14ac:dyDescent="0.45">
      <c r="A11" s="22" t="s">
        <v>598</v>
      </c>
      <c r="B11" s="68">
        <v>18229495.199999999</v>
      </c>
      <c r="C11" s="68">
        <v>16991088.449999999</v>
      </c>
      <c r="D11" s="68">
        <v>15752681.699999999</v>
      </c>
      <c r="E11" s="68">
        <v>14514274.949999999</v>
      </c>
      <c r="F11" s="68">
        <v>13275868.199999999</v>
      </c>
      <c r="G11" s="68">
        <v>12037461.449999999</v>
      </c>
      <c r="H11" s="68">
        <v>10799054.699999999</v>
      </c>
      <c r="I11" s="68">
        <v>9560647.9499999993</v>
      </c>
      <c r="J11" s="68">
        <v>8322241.1999999899</v>
      </c>
    </row>
    <row r="12" spans="1:10" ht="15" customHeight="1" x14ac:dyDescent="0.45">
      <c r="A12" s="22" t="s">
        <v>599</v>
      </c>
      <c r="B12" s="68">
        <v>20224839.5</v>
      </c>
      <c r="C12" s="68">
        <v>18986432.75</v>
      </c>
      <c r="D12" s="68">
        <v>17748026</v>
      </c>
      <c r="E12" s="68">
        <v>16509619.25</v>
      </c>
      <c r="F12" s="68">
        <v>15271212.5</v>
      </c>
      <c r="G12" s="68">
        <v>14032805.75</v>
      </c>
      <c r="H12" s="68">
        <v>12794399</v>
      </c>
      <c r="I12" s="68">
        <v>11555992.25</v>
      </c>
      <c r="J12" s="68">
        <v>10317585.5</v>
      </c>
    </row>
    <row r="13" spans="1:10" ht="15" customHeight="1" x14ac:dyDescent="0.45">
      <c r="A13" s="22" t="s">
        <v>600</v>
      </c>
      <c r="B13" s="69">
        <v>22220183.800000001</v>
      </c>
      <c r="C13" s="68">
        <v>20981777.050000001</v>
      </c>
      <c r="D13" s="68">
        <v>19743370.300000001</v>
      </c>
      <c r="E13" s="68">
        <v>18504963.550000001</v>
      </c>
      <c r="F13" s="68">
        <v>17266556.800000001</v>
      </c>
      <c r="G13" s="68">
        <v>16028150.050000001</v>
      </c>
      <c r="H13" s="68">
        <v>14789743.300000001</v>
      </c>
      <c r="I13" s="68">
        <v>13551336.550000001</v>
      </c>
      <c r="J13" s="68">
        <v>12312929.800000001</v>
      </c>
    </row>
    <row r="14" spans="1:10" ht="15" customHeight="1" x14ac:dyDescent="0.45">
      <c r="A14" s="22" t="s">
        <v>601</v>
      </c>
      <c r="B14" s="68">
        <v>24215528.100000001</v>
      </c>
      <c r="C14" s="69">
        <v>22977121.350000001</v>
      </c>
      <c r="D14" s="68">
        <v>21738714.600000001</v>
      </c>
      <c r="E14" s="68">
        <v>20500307.850000001</v>
      </c>
      <c r="F14" s="68">
        <v>19261901.100000001</v>
      </c>
      <c r="G14" s="68">
        <v>18023494.350000001</v>
      </c>
      <c r="H14" s="68">
        <v>16785087.600000001</v>
      </c>
      <c r="I14" s="68">
        <v>15546680.85</v>
      </c>
      <c r="J14" s="68">
        <v>14308274.1</v>
      </c>
    </row>
    <row r="15" spans="1:10" ht="15" customHeight="1" x14ac:dyDescent="0.45">
      <c r="A15" s="22" t="s">
        <v>602</v>
      </c>
      <c r="B15" s="68">
        <v>26210872.399999999</v>
      </c>
      <c r="C15" s="68">
        <v>24972465.649999999</v>
      </c>
      <c r="D15" s="69">
        <v>23734058.899999999</v>
      </c>
      <c r="E15" s="69">
        <v>22495652.149999999</v>
      </c>
      <c r="F15" s="68">
        <v>21257245.399999999</v>
      </c>
      <c r="G15" s="68">
        <v>20018838.649999999</v>
      </c>
      <c r="H15" s="68">
        <v>18780431.899999999</v>
      </c>
      <c r="I15" s="68">
        <v>17542025.149999999</v>
      </c>
      <c r="J15" s="68">
        <v>16303618.4</v>
      </c>
    </row>
    <row r="18" spans="1:10" ht="18" customHeight="1" x14ac:dyDescent="0.45">
      <c r="A18" s="15" t="s">
        <v>603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15" customHeight="1" x14ac:dyDescent="0.45">
      <c r="B19" s="26" t="s">
        <v>604</v>
      </c>
      <c r="C19" s="26" t="s">
        <v>605</v>
      </c>
      <c r="D19" s="26" t="s">
        <v>606</v>
      </c>
      <c r="E19" s="26" t="s">
        <v>607</v>
      </c>
      <c r="F19" s="26" t="s">
        <v>608</v>
      </c>
      <c r="G19" s="26" t="s">
        <v>609</v>
      </c>
    </row>
    <row r="20" spans="1:10" ht="15" customHeight="1" x14ac:dyDescent="0.45">
      <c r="A20" s="26" t="s">
        <v>593</v>
      </c>
    </row>
    <row r="21" spans="1:10" ht="15" customHeight="1" x14ac:dyDescent="0.45">
      <c r="A21" s="22" t="s">
        <v>594</v>
      </c>
      <c r="B21" s="70">
        <v>40056787.200000003</v>
      </c>
      <c r="C21" s="70">
        <v>41444852.799999997</v>
      </c>
      <c r="D21" s="70">
        <v>42138885.600000001</v>
      </c>
      <c r="E21" s="70">
        <v>42832918.399999999</v>
      </c>
      <c r="F21" s="70">
        <v>43526951.200000003</v>
      </c>
      <c r="G21" s="70">
        <v>44220984</v>
      </c>
    </row>
    <row r="22" spans="1:10" ht="15" customHeight="1" x14ac:dyDescent="0.45">
      <c r="A22" s="22" t="s">
        <v>595</v>
      </c>
      <c r="B22" s="70">
        <v>41722465.920000002</v>
      </c>
      <c r="C22" s="70">
        <v>43249338.079999998</v>
      </c>
      <c r="D22" s="70">
        <v>44012774.159999996</v>
      </c>
      <c r="E22" s="70">
        <v>44776210.240000002</v>
      </c>
      <c r="F22" s="70">
        <v>45539646.32</v>
      </c>
      <c r="G22" s="70">
        <v>46303082.399999999</v>
      </c>
    </row>
    <row r="23" spans="1:10" ht="15" customHeight="1" x14ac:dyDescent="0.45">
      <c r="A23" s="22" t="s">
        <v>596</v>
      </c>
      <c r="B23" s="70">
        <v>43388144.640000001</v>
      </c>
      <c r="C23" s="70">
        <v>45053823.359999999</v>
      </c>
      <c r="D23" s="70">
        <v>45886662.719999999</v>
      </c>
      <c r="E23" s="70">
        <v>46719502.079999998</v>
      </c>
      <c r="F23" s="70">
        <v>47552341.439999998</v>
      </c>
      <c r="G23" s="70">
        <v>48385180.799999997</v>
      </c>
    </row>
    <row r="24" spans="1:10" ht="15" customHeight="1" x14ac:dyDescent="0.45">
      <c r="A24" s="22" t="s">
        <v>597</v>
      </c>
      <c r="B24" s="70">
        <v>45053823.359999999</v>
      </c>
      <c r="C24" s="70">
        <v>46858308.640000001</v>
      </c>
      <c r="D24" s="70">
        <v>47760551.280000001</v>
      </c>
      <c r="E24" s="70">
        <v>48662793.920000002</v>
      </c>
      <c r="F24" s="70">
        <v>49565036.560000002</v>
      </c>
      <c r="G24" s="70">
        <v>50467279.200000003</v>
      </c>
    </row>
    <row r="25" spans="1:10" ht="15" customHeight="1" x14ac:dyDescent="0.45">
      <c r="A25" s="22" t="s">
        <v>598</v>
      </c>
      <c r="B25" s="70">
        <v>46719502.079999998</v>
      </c>
      <c r="C25" s="70">
        <v>48662793.920000002</v>
      </c>
      <c r="D25" s="70">
        <v>49634439.840000004</v>
      </c>
      <c r="E25" s="70">
        <v>50606085.759999998</v>
      </c>
      <c r="F25" s="70">
        <v>51577731.68</v>
      </c>
      <c r="G25" s="71">
        <v>52549377.600000001</v>
      </c>
    </row>
    <row r="26" spans="1:10" ht="15" customHeight="1" x14ac:dyDescent="0.45">
      <c r="A26" s="22" t="s">
        <v>599</v>
      </c>
      <c r="B26" s="70">
        <v>48385180.799999997</v>
      </c>
      <c r="C26" s="70">
        <v>50467279.200000003</v>
      </c>
      <c r="D26" s="70">
        <v>51508328.399999999</v>
      </c>
      <c r="E26" s="70">
        <v>52549377.600000001</v>
      </c>
      <c r="F26" s="70">
        <v>53590426.799999997</v>
      </c>
      <c r="G26" s="70">
        <v>54631476</v>
      </c>
    </row>
    <row r="27" spans="1:10" ht="15" customHeight="1" x14ac:dyDescent="0.45">
      <c r="A27" s="22" t="s">
        <v>600</v>
      </c>
      <c r="B27" s="70">
        <v>50050859.520000003</v>
      </c>
      <c r="C27" s="70">
        <v>52271764.479999997</v>
      </c>
      <c r="D27" s="70">
        <v>53382216.960000001</v>
      </c>
      <c r="E27" s="70">
        <v>54492669.439999998</v>
      </c>
      <c r="F27" s="70">
        <v>55603121.920000002</v>
      </c>
      <c r="G27" s="70">
        <v>56713574.399999999</v>
      </c>
    </row>
    <row r="28" spans="1:10" ht="15" customHeight="1" x14ac:dyDescent="0.45">
      <c r="A28" s="22" t="s">
        <v>601</v>
      </c>
      <c r="B28" s="70">
        <v>51716538.240000002</v>
      </c>
      <c r="C28" s="70">
        <v>54076249.759999998</v>
      </c>
      <c r="D28" s="70">
        <v>55256105.520000003</v>
      </c>
      <c r="E28" s="70">
        <v>56435961.280000001</v>
      </c>
      <c r="F28" s="70">
        <v>57615817.039999999</v>
      </c>
      <c r="G28" s="70">
        <v>58795672.799999997</v>
      </c>
    </row>
    <row r="29" spans="1:10" ht="15" customHeight="1" x14ac:dyDescent="0.45">
      <c r="A29" s="22" t="s">
        <v>602</v>
      </c>
      <c r="B29" s="70">
        <v>53382216.960000001</v>
      </c>
      <c r="C29" s="70">
        <v>55880735.039999999</v>
      </c>
      <c r="D29" s="70">
        <v>57129994.079999998</v>
      </c>
      <c r="E29" s="70">
        <v>58379253.119999997</v>
      </c>
      <c r="F29" s="70">
        <v>59628512.159999996</v>
      </c>
      <c r="G29" s="70">
        <v>60877771.200000003</v>
      </c>
    </row>
    <row r="31" spans="1:10" ht="15" customHeight="1" x14ac:dyDescent="0.45">
      <c r="A31" s="40" t="s">
        <v>610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63"/>
  <sheetViews>
    <sheetView showGridLines="0" tabSelected="1" topLeftCell="A168" zoomScaleNormal="100" workbookViewId="0">
      <selection sqref="A1:D1"/>
    </sheetView>
  </sheetViews>
  <sheetFormatPr defaultColWidth="8.6640625" defaultRowHeight="14.25" outlineLevelRow="1" x14ac:dyDescent="0.45"/>
  <cols>
    <col min="1" max="1" width="4" customWidth="1"/>
    <col min="2" max="2" width="32" customWidth="1"/>
    <col min="3" max="3" width="62" customWidth="1"/>
    <col min="4" max="4" width="20" customWidth="1"/>
  </cols>
  <sheetData>
    <row r="1" spans="1:4" ht="36" customHeight="1" x14ac:dyDescent="0.45">
      <c r="A1" s="1" t="s">
        <v>0</v>
      </c>
      <c r="B1" s="1"/>
      <c r="C1" s="1"/>
      <c r="D1" s="1"/>
    </row>
    <row r="2" spans="1:4" ht="18" customHeight="1" x14ac:dyDescent="0.45">
      <c r="A2" s="100" t="s">
        <v>611</v>
      </c>
      <c r="B2" s="100"/>
      <c r="C2" s="100"/>
      <c r="D2" s="100"/>
    </row>
    <row r="3" spans="1:4" ht="7.5" customHeight="1" x14ac:dyDescent="0.45"/>
    <row r="4" spans="1:4" ht="21.75" customHeight="1" x14ac:dyDescent="0.45">
      <c r="A4" s="101" t="s">
        <v>612</v>
      </c>
      <c r="B4" s="101"/>
      <c r="C4" s="101"/>
      <c r="D4" s="101"/>
    </row>
    <row r="5" spans="1:4" ht="27.75" customHeight="1" outlineLevel="1" x14ac:dyDescent="0.45">
      <c r="B5" s="72" t="s">
        <v>613</v>
      </c>
      <c r="C5" s="73" t="s">
        <v>614</v>
      </c>
    </row>
    <row r="6" spans="1:4" ht="27.75" customHeight="1" outlineLevel="1" x14ac:dyDescent="0.45">
      <c r="B6" s="72" t="s">
        <v>615</v>
      </c>
      <c r="C6" s="73" t="s">
        <v>616</v>
      </c>
    </row>
    <row r="7" spans="1:4" ht="27.75" customHeight="1" outlineLevel="1" x14ac:dyDescent="0.45">
      <c r="B7" s="72" t="s">
        <v>617</v>
      </c>
      <c r="C7" s="73" t="s">
        <v>618</v>
      </c>
    </row>
    <row r="8" spans="1:4" ht="27.75" customHeight="1" outlineLevel="1" x14ac:dyDescent="0.45">
      <c r="B8" s="72" t="s">
        <v>619</v>
      </c>
      <c r="C8" s="73" t="s">
        <v>620</v>
      </c>
    </row>
    <row r="9" spans="1:4" ht="27.75" customHeight="1" outlineLevel="1" x14ac:dyDescent="0.45">
      <c r="B9" s="72" t="s">
        <v>621</v>
      </c>
      <c r="C9" s="73" t="s">
        <v>622</v>
      </c>
    </row>
    <row r="10" spans="1:4" ht="27.75" customHeight="1" outlineLevel="1" x14ac:dyDescent="0.45">
      <c r="B10" s="72" t="s">
        <v>623</v>
      </c>
      <c r="C10" s="73" t="s">
        <v>624</v>
      </c>
    </row>
    <row r="11" spans="1:4" ht="27.75" customHeight="1" outlineLevel="1" x14ac:dyDescent="0.45">
      <c r="B11" s="72" t="s">
        <v>625</v>
      </c>
      <c r="C11" s="73" t="s">
        <v>626</v>
      </c>
    </row>
    <row r="12" spans="1:4" ht="7.5" customHeight="1" x14ac:dyDescent="0.45"/>
    <row r="13" spans="1:4" ht="21.75" customHeight="1" x14ac:dyDescent="0.45">
      <c r="A13" s="101" t="s">
        <v>627</v>
      </c>
      <c r="B13" s="101"/>
      <c r="C13" s="101"/>
      <c r="D13" s="101"/>
    </row>
    <row r="14" spans="1:4" ht="18" customHeight="1" outlineLevel="1" x14ac:dyDescent="0.45">
      <c r="B14" s="74" t="s">
        <v>628</v>
      </c>
      <c r="C14" s="74" t="s">
        <v>263</v>
      </c>
      <c r="D14" s="74" t="s">
        <v>629</v>
      </c>
    </row>
    <row r="15" spans="1:4" ht="18" customHeight="1" outlineLevel="1" x14ac:dyDescent="0.45">
      <c r="A15" s="75" t="s">
        <v>630</v>
      </c>
      <c r="B15" s="76" t="s">
        <v>631</v>
      </c>
      <c r="C15" s="36" t="s">
        <v>632</v>
      </c>
      <c r="D15" s="77" t="s">
        <v>633</v>
      </c>
    </row>
    <row r="16" spans="1:4" ht="18" customHeight="1" outlineLevel="1" x14ac:dyDescent="0.45">
      <c r="A16" s="78" t="s">
        <v>630</v>
      </c>
      <c r="B16" s="79" t="s">
        <v>634</v>
      </c>
      <c r="C16" s="36" t="s">
        <v>635</v>
      </c>
      <c r="D16" s="77" t="s">
        <v>636</v>
      </c>
    </row>
    <row r="17" spans="1:4" ht="18" customHeight="1" outlineLevel="1" x14ac:dyDescent="0.45">
      <c r="A17" s="78" t="s">
        <v>630</v>
      </c>
      <c r="B17" s="80" t="s">
        <v>637</v>
      </c>
      <c r="C17" s="36" t="s">
        <v>638</v>
      </c>
      <c r="D17" s="77" t="s">
        <v>639</v>
      </c>
    </row>
    <row r="18" spans="1:4" ht="18" customHeight="1" outlineLevel="1" x14ac:dyDescent="0.45">
      <c r="A18" s="81" t="s">
        <v>630</v>
      </c>
      <c r="B18" s="82" t="s">
        <v>640</v>
      </c>
      <c r="C18" s="36" t="s">
        <v>641</v>
      </c>
      <c r="D18" s="77" t="s">
        <v>642</v>
      </c>
    </row>
    <row r="19" spans="1:4" ht="18" customHeight="1" outlineLevel="1" x14ac:dyDescent="0.45">
      <c r="A19" s="16" t="s">
        <v>630</v>
      </c>
      <c r="B19" s="83" t="s">
        <v>643</v>
      </c>
      <c r="C19" s="36" t="s">
        <v>644</v>
      </c>
      <c r="D19" s="77" t="s">
        <v>645</v>
      </c>
    </row>
    <row r="20" spans="1:4" ht="18" customHeight="1" outlineLevel="1" x14ac:dyDescent="0.45">
      <c r="A20" s="84" t="s">
        <v>630</v>
      </c>
      <c r="B20" s="85" t="s">
        <v>646</v>
      </c>
      <c r="C20" s="36" t="s">
        <v>647</v>
      </c>
      <c r="D20" s="77" t="s">
        <v>648</v>
      </c>
    </row>
    <row r="21" spans="1:4" ht="18" customHeight="1" outlineLevel="1" x14ac:dyDescent="0.45">
      <c r="A21" s="86" t="s">
        <v>630</v>
      </c>
      <c r="B21" s="87" t="s">
        <v>649</v>
      </c>
      <c r="C21" s="36" t="s">
        <v>650</v>
      </c>
      <c r="D21" s="77" t="s">
        <v>651</v>
      </c>
    </row>
    <row r="22" spans="1:4" ht="18" customHeight="1" outlineLevel="1" x14ac:dyDescent="0.45">
      <c r="A22" s="88" t="s">
        <v>630</v>
      </c>
      <c r="B22" s="89" t="s">
        <v>652</v>
      </c>
      <c r="C22" s="36" t="s">
        <v>653</v>
      </c>
      <c r="D22" s="77" t="s">
        <v>654</v>
      </c>
    </row>
    <row r="23" spans="1:4" ht="18" customHeight="1" outlineLevel="1" x14ac:dyDescent="0.45">
      <c r="A23" s="90" t="s">
        <v>630</v>
      </c>
      <c r="B23" s="91" t="s">
        <v>655</v>
      </c>
      <c r="C23" s="36" t="s">
        <v>656</v>
      </c>
      <c r="D23" s="77" t="s">
        <v>657</v>
      </c>
    </row>
    <row r="24" spans="1:4" ht="7.5" customHeight="1" x14ac:dyDescent="0.45"/>
    <row r="25" spans="1:4" ht="21.75" customHeight="1" x14ac:dyDescent="0.45">
      <c r="A25" s="101" t="s">
        <v>658</v>
      </c>
      <c r="B25" s="101"/>
      <c r="C25" s="101"/>
      <c r="D25" s="101"/>
    </row>
    <row r="26" spans="1:4" ht="18" customHeight="1" outlineLevel="1" x14ac:dyDescent="0.45">
      <c r="B26" s="74" t="s">
        <v>659</v>
      </c>
      <c r="C26" s="74" t="s">
        <v>660</v>
      </c>
    </row>
    <row r="27" spans="1:4" ht="27.75" customHeight="1" outlineLevel="1" x14ac:dyDescent="0.45">
      <c r="B27" s="92" t="s">
        <v>661</v>
      </c>
      <c r="C27" s="73" t="s">
        <v>662</v>
      </c>
    </row>
    <row r="28" spans="1:4" ht="27.75" customHeight="1" outlineLevel="1" x14ac:dyDescent="0.45">
      <c r="B28" s="92" t="s">
        <v>663</v>
      </c>
      <c r="C28" s="73" t="s">
        <v>664</v>
      </c>
    </row>
    <row r="29" spans="1:4" ht="27.75" customHeight="1" outlineLevel="1" x14ac:dyDescent="0.45">
      <c r="B29" s="92" t="s">
        <v>665</v>
      </c>
      <c r="C29" s="73" t="s">
        <v>666</v>
      </c>
    </row>
    <row r="30" spans="1:4" ht="27.75" customHeight="1" outlineLevel="1" x14ac:dyDescent="0.45">
      <c r="B30" s="92" t="s">
        <v>667</v>
      </c>
      <c r="C30" s="73" t="s">
        <v>668</v>
      </c>
    </row>
    <row r="31" spans="1:4" ht="27.75" customHeight="1" outlineLevel="1" x14ac:dyDescent="0.45">
      <c r="B31" s="92" t="s">
        <v>669</v>
      </c>
      <c r="C31" s="73" t="s">
        <v>670</v>
      </c>
    </row>
    <row r="32" spans="1:4" ht="27.75" customHeight="1" outlineLevel="1" x14ac:dyDescent="0.45">
      <c r="B32" s="92" t="s">
        <v>671</v>
      </c>
      <c r="C32" s="73" t="s">
        <v>672</v>
      </c>
    </row>
    <row r="33" spans="1:4" ht="27.75" customHeight="1" outlineLevel="1" x14ac:dyDescent="0.45">
      <c r="B33" s="92" t="s">
        <v>673</v>
      </c>
      <c r="C33" s="73" t="s">
        <v>674</v>
      </c>
    </row>
    <row r="34" spans="1:4" ht="27.75" customHeight="1" outlineLevel="1" x14ac:dyDescent="0.45">
      <c r="B34" s="92" t="s">
        <v>675</v>
      </c>
      <c r="C34" s="73" t="s">
        <v>676</v>
      </c>
    </row>
    <row r="35" spans="1:4" ht="27.75" customHeight="1" outlineLevel="1" x14ac:dyDescent="0.45">
      <c r="B35" s="92" t="s">
        <v>677</v>
      </c>
      <c r="C35" s="73" t="s">
        <v>678</v>
      </c>
    </row>
    <row r="36" spans="1:4" ht="27.75" customHeight="1" outlineLevel="1" x14ac:dyDescent="0.45">
      <c r="B36" s="92" t="s">
        <v>679</v>
      </c>
      <c r="C36" s="73" t="s">
        <v>680</v>
      </c>
    </row>
    <row r="37" spans="1:4" ht="27.75" customHeight="1" outlineLevel="1" x14ac:dyDescent="0.45">
      <c r="B37" s="92" t="s">
        <v>681</v>
      </c>
      <c r="C37" s="73" t="s">
        <v>682</v>
      </c>
    </row>
    <row r="38" spans="1:4" ht="27.75" customHeight="1" outlineLevel="1" x14ac:dyDescent="0.45">
      <c r="B38" s="92" t="s">
        <v>683</v>
      </c>
      <c r="C38" s="73" t="s">
        <v>684</v>
      </c>
    </row>
    <row r="39" spans="1:4" ht="27.75" customHeight="1" outlineLevel="1" x14ac:dyDescent="0.45">
      <c r="B39" s="92" t="s">
        <v>685</v>
      </c>
      <c r="C39" s="73" t="s">
        <v>686</v>
      </c>
    </row>
    <row r="40" spans="1:4" ht="27.75" customHeight="1" outlineLevel="1" x14ac:dyDescent="0.45">
      <c r="B40" s="92" t="s">
        <v>687</v>
      </c>
      <c r="C40" s="73" t="s">
        <v>688</v>
      </c>
    </row>
    <row r="41" spans="1:4" ht="27.75" customHeight="1" outlineLevel="1" x14ac:dyDescent="0.45">
      <c r="B41" s="92" t="s">
        <v>689</v>
      </c>
      <c r="C41" s="73" t="s">
        <v>690</v>
      </c>
    </row>
    <row r="42" spans="1:4" ht="27.75" customHeight="1" outlineLevel="1" x14ac:dyDescent="0.45">
      <c r="B42" s="92" t="s">
        <v>691</v>
      </c>
      <c r="C42" s="73" t="s">
        <v>692</v>
      </c>
    </row>
    <row r="43" spans="1:4" ht="7.5" customHeight="1" x14ac:dyDescent="0.45"/>
    <row r="44" spans="1:4" ht="21.75" customHeight="1" x14ac:dyDescent="0.45">
      <c r="A44" s="101" t="s">
        <v>693</v>
      </c>
      <c r="B44" s="101"/>
      <c r="C44" s="101"/>
      <c r="D44" s="101"/>
    </row>
    <row r="45" spans="1:4" ht="36" customHeight="1" outlineLevel="1" x14ac:dyDescent="0.45">
      <c r="A45" s="102" t="s">
        <v>694</v>
      </c>
      <c r="B45" s="102"/>
      <c r="C45" s="102"/>
      <c r="D45" s="102"/>
    </row>
    <row r="46" spans="1:4" ht="18" customHeight="1" outlineLevel="1" x14ac:dyDescent="0.45">
      <c r="A46" s="103" t="s">
        <v>695</v>
      </c>
      <c r="B46" s="103"/>
      <c r="C46" s="103"/>
      <c r="D46" s="103"/>
    </row>
    <row r="47" spans="1:4" ht="27.75" customHeight="1" outlineLevel="1" x14ac:dyDescent="0.45">
      <c r="B47" s="93" t="s">
        <v>696</v>
      </c>
      <c r="C47" s="73" t="s">
        <v>697</v>
      </c>
    </row>
    <row r="48" spans="1:4" ht="27.75" customHeight="1" outlineLevel="1" x14ac:dyDescent="0.45">
      <c r="B48" s="93" t="s">
        <v>698</v>
      </c>
      <c r="C48" s="73" t="s">
        <v>699</v>
      </c>
    </row>
    <row r="49" spans="1:4" ht="27.75" customHeight="1" outlineLevel="1" x14ac:dyDescent="0.45">
      <c r="B49" s="93" t="s">
        <v>700</v>
      </c>
      <c r="C49" s="73" t="s">
        <v>701</v>
      </c>
    </row>
    <row r="50" spans="1:4" ht="27.75" customHeight="1" outlineLevel="1" x14ac:dyDescent="0.45">
      <c r="B50" s="93" t="s">
        <v>702</v>
      </c>
      <c r="C50" s="73" t="s">
        <v>703</v>
      </c>
    </row>
    <row r="51" spans="1:4" ht="18" customHeight="1" outlineLevel="1" x14ac:dyDescent="0.45">
      <c r="A51" s="103" t="s">
        <v>704</v>
      </c>
      <c r="B51" s="103"/>
      <c r="C51" s="103"/>
      <c r="D51" s="103"/>
    </row>
    <row r="52" spans="1:4" ht="27.75" customHeight="1" outlineLevel="1" x14ac:dyDescent="0.45">
      <c r="B52" s="93" t="s">
        <v>705</v>
      </c>
      <c r="C52" s="73" t="s">
        <v>706</v>
      </c>
    </row>
    <row r="53" spans="1:4" ht="27.75" customHeight="1" outlineLevel="1" x14ac:dyDescent="0.45">
      <c r="B53" s="93" t="s">
        <v>707</v>
      </c>
      <c r="C53" s="73" t="s">
        <v>708</v>
      </c>
    </row>
    <row r="54" spans="1:4" ht="27.75" customHeight="1" outlineLevel="1" x14ac:dyDescent="0.45">
      <c r="B54" s="93" t="s">
        <v>709</v>
      </c>
      <c r="C54" s="73" t="s">
        <v>710</v>
      </c>
    </row>
    <row r="55" spans="1:4" ht="27.75" customHeight="1" outlineLevel="1" x14ac:dyDescent="0.45">
      <c r="B55" s="93" t="s">
        <v>711</v>
      </c>
      <c r="C55" s="73" t="s">
        <v>712</v>
      </c>
    </row>
    <row r="56" spans="1:4" ht="18" customHeight="1" outlineLevel="1" x14ac:dyDescent="0.45">
      <c r="A56" s="103" t="s">
        <v>713</v>
      </c>
      <c r="B56" s="103"/>
      <c r="C56" s="103"/>
      <c r="D56" s="103"/>
    </row>
    <row r="57" spans="1:4" ht="27.75" customHeight="1" outlineLevel="1" x14ac:dyDescent="0.45">
      <c r="B57" s="93" t="s">
        <v>714</v>
      </c>
      <c r="C57" s="73" t="s">
        <v>715</v>
      </c>
    </row>
    <row r="58" spans="1:4" ht="27.75" customHeight="1" outlineLevel="1" x14ac:dyDescent="0.45">
      <c r="B58" s="93" t="s">
        <v>716</v>
      </c>
      <c r="C58" s="73" t="s">
        <v>717</v>
      </c>
    </row>
    <row r="59" spans="1:4" ht="27.75" customHeight="1" outlineLevel="1" x14ac:dyDescent="0.45">
      <c r="B59" s="93" t="s">
        <v>718</v>
      </c>
      <c r="C59" s="73" t="s">
        <v>719</v>
      </c>
    </row>
    <row r="60" spans="1:4" ht="27.75" customHeight="1" outlineLevel="1" x14ac:dyDescent="0.45">
      <c r="B60" s="93" t="s">
        <v>720</v>
      </c>
      <c r="C60" s="73" t="s">
        <v>721</v>
      </c>
    </row>
    <row r="61" spans="1:4" ht="18" customHeight="1" outlineLevel="1" x14ac:dyDescent="0.45">
      <c r="A61" s="103" t="s">
        <v>722</v>
      </c>
      <c r="B61" s="103"/>
      <c r="C61" s="103"/>
      <c r="D61" s="103"/>
    </row>
    <row r="62" spans="1:4" ht="27.75" customHeight="1" outlineLevel="1" x14ac:dyDescent="0.45">
      <c r="B62" s="93" t="s">
        <v>723</v>
      </c>
      <c r="C62" s="73" t="s">
        <v>724</v>
      </c>
    </row>
    <row r="63" spans="1:4" ht="27.75" customHeight="1" outlineLevel="1" x14ac:dyDescent="0.45">
      <c r="B63" s="93" t="s">
        <v>725</v>
      </c>
      <c r="C63" s="73" t="s">
        <v>726</v>
      </c>
    </row>
    <row r="64" spans="1:4" ht="27.75" customHeight="1" outlineLevel="1" x14ac:dyDescent="0.45">
      <c r="B64" s="93" t="s">
        <v>727</v>
      </c>
      <c r="C64" s="73" t="s">
        <v>728</v>
      </c>
    </row>
    <row r="65" spans="1:4" ht="27.75" customHeight="1" outlineLevel="1" x14ac:dyDescent="0.45">
      <c r="B65" s="93" t="s">
        <v>729</v>
      </c>
      <c r="C65" s="73" t="s">
        <v>730</v>
      </c>
    </row>
    <row r="66" spans="1:4" ht="27.75" customHeight="1" outlineLevel="1" x14ac:dyDescent="0.45">
      <c r="B66" s="93" t="s">
        <v>731</v>
      </c>
      <c r="C66" s="73" t="s">
        <v>732</v>
      </c>
    </row>
    <row r="67" spans="1:4" ht="18" customHeight="1" outlineLevel="1" x14ac:dyDescent="0.45">
      <c r="A67" s="103" t="s">
        <v>733</v>
      </c>
      <c r="B67" s="103"/>
      <c r="C67" s="103"/>
      <c r="D67" s="103"/>
    </row>
    <row r="68" spans="1:4" ht="27.75" customHeight="1" outlineLevel="1" x14ac:dyDescent="0.45">
      <c r="B68" s="93" t="s">
        <v>734</v>
      </c>
      <c r="C68" s="73" t="s">
        <v>735</v>
      </c>
    </row>
    <row r="69" spans="1:4" ht="27.75" customHeight="1" outlineLevel="1" x14ac:dyDescent="0.45">
      <c r="B69" s="93" t="s">
        <v>736</v>
      </c>
      <c r="C69" s="73" t="s">
        <v>737</v>
      </c>
    </row>
    <row r="70" spans="1:4" ht="27.75" customHeight="1" outlineLevel="1" x14ac:dyDescent="0.45">
      <c r="B70" s="93" t="s">
        <v>738</v>
      </c>
      <c r="C70" s="73" t="s">
        <v>739</v>
      </c>
    </row>
    <row r="71" spans="1:4" ht="18" customHeight="1" outlineLevel="1" x14ac:dyDescent="0.45">
      <c r="A71" s="104" t="s">
        <v>740</v>
      </c>
      <c r="B71" s="104"/>
      <c r="C71" s="104"/>
      <c r="D71" s="104"/>
    </row>
    <row r="72" spans="1:4" ht="27.75" customHeight="1" outlineLevel="1" x14ac:dyDescent="0.45">
      <c r="B72" s="94" t="s">
        <v>741</v>
      </c>
      <c r="C72" s="95" t="s">
        <v>742</v>
      </c>
    </row>
    <row r="73" spans="1:4" ht="27.75" customHeight="1" outlineLevel="1" x14ac:dyDescent="0.45">
      <c r="B73" s="94" t="s">
        <v>743</v>
      </c>
      <c r="C73" s="95" t="s">
        <v>744</v>
      </c>
    </row>
    <row r="74" spans="1:4" ht="27.75" customHeight="1" outlineLevel="1" x14ac:dyDescent="0.45">
      <c r="B74" s="94" t="s">
        <v>745</v>
      </c>
      <c r="C74" s="95" t="s">
        <v>746</v>
      </c>
    </row>
    <row r="75" spans="1:4" ht="27.75" customHeight="1" outlineLevel="1" x14ac:dyDescent="0.45">
      <c r="B75" s="94" t="s">
        <v>747</v>
      </c>
      <c r="C75" s="95" t="s">
        <v>748</v>
      </c>
    </row>
    <row r="76" spans="1:4" ht="27.75" customHeight="1" outlineLevel="1" x14ac:dyDescent="0.45">
      <c r="B76" s="94" t="s">
        <v>749</v>
      </c>
      <c r="C76" s="95" t="s">
        <v>750</v>
      </c>
    </row>
    <row r="77" spans="1:4" ht="27.75" customHeight="1" outlineLevel="1" x14ac:dyDescent="0.45">
      <c r="B77" s="94" t="s">
        <v>751</v>
      </c>
      <c r="C77" s="95" t="s">
        <v>752</v>
      </c>
    </row>
    <row r="78" spans="1:4" ht="7.5" customHeight="1" x14ac:dyDescent="0.45"/>
    <row r="79" spans="1:4" ht="21.75" customHeight="1" x14ac:dyDescent="0.45">
      <c r="A79" s="101" t="s">
        <v>753</v>
      </c>
      <c r="B79" s="101"/>
      <c r="C79" s="101"/>
      <c r="D79" s="101"/>
    </row>
    <row r="80" spans="1:4" ht="30" customHeight="1" outlineLevel="1" x14ac:dyDescent="0.45">
      <c r="A80" s="105" t="s">
        <v>754</v>
      </c>
      <c r="B80" s="105"/>
      <c r="C80" s="105"/>
      <c r="D80" s="105"/>
    </row>
    <row r="81" spans="2:3" ht="18" customHeight="1" outlineLevel="1" x14ac:dyDescent="0.45">
      <c r="B81" s="74" t="s">
        <v>755</v>
      </c>
      <c r="C81" s="74" t="s">
        <v>756</v>
      </c>
    </row>
    <row r="82" spans="2:3" ht="27.75" customHeight="1" outlineLevel="1" x14ac:dyDescent="0.45">
      <c r="B82" s="96" t="s">
        <v>757</v>
      </c>
      <c r="C82" s="97" t="s">
        <v>758</v>
      </c>
    </row>
    <row r="83" spans="2:3" ht="27.75" customHeight="1" outlineLevel="1" x14ac:dyDescent="0.45">
      <c r="B83" s="96" t="s">
        <v>757</v>
      </c>
      <c r="C83" s="97" t="s">
        <v>759</v>
      </c>
    </row>
    <row r="84" spans="2:3" ht="27.75" customHeight="1" outlineLevel="1" x14ac:dyDescent="0.45">
      <c r="B84" s="96" t="s">
        <v>757</v>
      </c>
      <c r="C84" s="97" t="s">
        <v>760</v>
      </c>
    </row>
    <row r="85" spans="2:3" ht="27.75" customHeight="1" outlineLevel="1" x14ac:dyDescent="0.45">
      <c r="B85" s="96" t="s">
        <v>757</v>
      </c>
      <c r="C85" s="97" t="s">
        <v>761</v>
      </c>
    </row>
    <row r="86" spans="2:3" ht="27.75" customHeight="1" outlineLevel="1" x14ac:dyDescent="0.45">
      <c r="B86" s="96" t="s">
        <v>757</v>
      </c>
      <c r="C86" s="98" t="s">
        <v>762</v>
      </c>
    </row>
    <row r="87" spans="2:3" ht="27.75" customHeight="1" outlineLevel="1" x14ac:dyDescent="0.45">
      <c r="B87" s="96" t="s">
        <v>757</v>
      </c>
      <c r="C87" s="97" t="s">
        <v>763</v>
      </c>
    </row>
    <row r="88" spans="2:3" ht="27.75" customHeight="1" outlineLevel="1" x14ac:dyDescent="0.45">
      <c r="B88" s="96" t="s">
        <v>757</v>
      </c>
      <c r="C88" s="97" t="s">
        <v>764</v>
      </c>
    </row>
    <row r="89" spans="2:3" ht="27.75" customHeight="1" outlineLevel="1" x14ac:dyDescent="0.45">
      <c r="B89" s="96" t="s">
        <v>757</v>
      </c>
      <c r="C89" s="97" t="s">
        <v>765</v>
      </c>
    </row>
    <row r="90" spans="2:3" ht="27.75" customHeight="1" outlineLevel="1" x14ac:dyDescent="0.45">
      <c r="B90" s="96" t="s">
        <v>766</v>
      </c>
      <c r="C90" s="97" t="s">
        <v>767</v>
      </c>
    </row>
    <row r="91" spans="2:3" ht="27.75" customHeight="1" outlineLevel="1" x14ac:dyDescent="0.45">
      <c r="B91" s="96" t="s">
        <v>766</v>
      </c>
      <c r="C91" s="98" t="s">
        <v>768</v>
      </c>
    </row>
    <row r="92" spans="2:3" ht="27.75" customHeight="1" outlineLevel="1" x14ac:dyDescent="0.45">
      <c r="B92" s="96" t="s">
        <v>766</v>
      </c>
      <c r="C92" s="97" t="s">
        <v>769</v>
      </c>
    </row>
    <row r="93" spans="2:3" ht="27.75" customHeight="1" outlineLevel="1" x14ac:dyDescent="0.45">
      <c r="B93" s="96" t="s">
        <v>766</v>
      </c>
      <c r="C93" s="97" t="s">
        <v>770</v>
      </c>
    </row>
    <row r="94" spans="2:3" ht="27.75" customHeight="1" outlineLevel="1" x14ac:dyDescent="0.45">
      <c r="B94" s="96" t="s">
        <v>766</v>
      </c>
      <c r="C94" s="97" t="s">
        <v>771</v>
      </c>
    </row>
    <row r="95" spans="2:3" ht="27.75" customHeight="1" outlineLevel="1" x14ac:dyDescent="0.45">
      <c r="B95" s="96" t="s">
        <v>772</v>
      </c>
      <c r="C95" s="97" t="s">
        <v>773</v>
      </c>
    </row>
    <row r="96" spans="2:3" ht="27.75" customHeight="1" outlineLevel="1" x14ac:dyDescent="0.45">
      <c r="B96" s="96" t="s">
        <v>772</v>
      </c>
      <c r="C96" s="98" t="s">
        <v>774</v>
      </c>
    </row>
    <row r="97" spans="2:3" ht="27.75" customHeight="1" outlineLevel="1" x14ac:dyDescent="0.45">
      <c r="B97" s="96" t="s">
        <v>772</v>
      </c>
      <c r="C97" s="97" t="s">
        <v>775</v>
      </c>
    </row>
    <row r="98" spans="2:3" ht="27.75" customHeight="1" outlineLevel="1" x14ac:dyDescent="0.45">
      <c r="B98" s="96" t="s">
        <v>772</v>
      </c>
      <c r="C98" s="97" t="s">
        <v>776</v>
      </c>
    </row>
    <row r="99" spans="2:3" ht="27.75" customHeight="1" outlineLevel="1" x14ac:dyDescent="0.45">
      <c r="B99" s="96" t="s">
        <v>772</v>
      </c>
      <c r="C99" s="97" t="s">
        <v>777</v>
      </c>
    </row>
    <row r="100" spans="2:3" ht="27.75" customHeight="1" outlineLevel="1" x14ac:dyDescent="0.45">
      <c r="B100" s="96" t="s">
        <v>778</v>
      </c>
      <c r="C100" s="97" t="s">
        <v>779</v>
      </c>
    </row>
    <row r="101" spans="2:3" ht="27.75" customHeight="1" outlineLevel="1" x14ac:dyDescent="0.45">
      <c r="B101" s="96" t="s">
        <v>778</v>
      </c>
      <c r="C101" s="97" t="s">
        <v>780</v>
      </c>
    </row>
    <row r="102" spans="2:3" ht="27.75" customHeight="1" outlineLevel="1" x14ac:dyDescent="0.45">
      <c r="B102" s="96" t="s">
        <v>778</v>
      </c>
      <c r="C102" s="98" t="s">
        <v>781</v>
      </c>
    </row>
    <row r="103" spans="2:3" ht="27.75" customHeight="1" outlineLevel="1" x14ac:dyDescent="0.45">
      <c r="B103" s="96" t="s">
        <v>778</v>
      </c>
      <c r="C103" s="97" t="s">
        <v>782</v>
      </c>
    </row>
    <row r="104" spans="2:3" ht="27.75" customHeight="1" outlineLevel="1" x14ac:dyDescent="0.45">
      <c r="B104" s="96" t="s">
        <v>778</v>
      </c>
      <c r="C104" s="97" t="s">
        <v>783</v>
      </c>
    </row>
    <row r="105" spans="2:3" ht="27.75" customHeight="1" outlineLevel="1" x14ac:dyDescent="0.45">
      <c r="B105" s="96" t="s">
        <v>784</v>
      </c>
      <c r="C105" s="97" t="s">
        <v>785</v>
      </c>
    </row>
    <row r="106" spans="2:3" ht="27.75" customHeight="1" outlineLevel="1" x14ac:dyDescent="0.45">
      <c r="B106" s="96" t="s">
        <v>784</v>
      </c>
      <c r="C106" s="97" t="s">
        <v>786</v>
      </c>
    </row>
    <row r="107" spans="2:3" ht="27.75" customHeight="1" outlineLevel="1" x14ac:dyDescent="0.45">
      <c r="B107" s="96" t="s">
        <v>784</v>
      </c>
      <c r="C107" s="98" t="s">
        <v>787</v>
      </c>
    </row>
    <row r="108" spans="2:3" ht="27.75" customHeight="1" outlineLevel="1" x14ac:dyDescent="0.45">
      <c r="B108" s="96" t="s">
        <v>784</v>
      </c>
      <c r="C108" s="97" t="s">
        <v>788</v>
      </c>
    </row>
    <row r="109" spans="2:3" ht="27.75" customHeight="1" outlineLevel="1" x14ac:dyDescent="0.45">
      <c r="B109" s="96" t="s">
        <v>784</v>
      </c>
      <c r="C109" s="97" t="s">
        <v>789</v>
      </c>
    </row>
    <row r="110" spans="2:3" ht="27.75" customHeight="1" outlineLevel="1" x14ac:dyDescent="0.45">
      <c r="B110" s="96" t="s">
        <v>790</v>
      </c>
      <c r="C110" s="97" t="s">
        <v>791</v>
      </c>
    </row>
    <row r="111" spans="2:3" ht="27.75" customHeight="1" outlineLevel="1" x14ac:dyDescent="0.45">
      <c r="B111" s="96" t="s">
        <v>790</v>
      </c>
      <c r="C111" s="98" t="s">
        <v>792</v>
      </c>
    </row>
    <row r="112" spans="2:3" ht="27.75" customHeight="1" outlineLevel="1" x14ac:dyDescent="0.45">
      <c r="B112" s="96" t="s">
        <v>790</v>
      </c>
      <c r="C112" s="97" t="s">
        <v>793</v>
      </c>
    </row>
    <row r="113" spans="2:3" ht="27.75" customHeight="1" outlineLevel="1" x14ac:dyDescent="0.45">
      <c r="B113" s="96" t="s">
        <v>790</v>
      </c>
      <c r="C113" s="97" t="s">
        <v>794</v>
      </c>
    </row>
    <row r="114" spans="2:3" ht="27.75" customHeight="1" outlineLevel="1" x14ac:dyDescent="0.45">
      <c r="B114" s="96" t="s">
        <v>790</v>
      </c>
      <c r="C114" s="97" t="s">
        <v>795</v>
      </c>
    </row>
    <row r="115" spans="2:3" ht="27.75" customHeight="1" outlineLevel="1" x14ac:dyDescent="0.45">
      <c r="B115" s="96" t="s">
        <v>790</v>
      </c>
      <c r="C115" s="97" t="s">
        <v>796</v>
      </c>
    </row>
    <row r="116" spans="2:3" ht="27.75" customHeight="1" outlineLevel="1" x14ac:dyDescent="0.45">
      <c r="B116" s="96" t="s">
        <v>797</v>
      </c>
      <c r="C116" s="97" t="s">
        <v>798</v>
      </c>
    </row>
    <row r="117" spans="2:3" ht="27.75" customHeight="1" outlineLevel="1" x14ac:dyDescent="0.45">
      <c r="B117" s="96" t="s">
        <v>797</v>
      </c>
      <c r="C117" s="97" t="s">
        <v>799</v>
      </c>
    </row>
    <row r="118" spans="2:3" ht="27.75" customHeight="1" outlineLevel="1" x14ac:dyDescent="0.45">
      <c r="B118" s="96" t="s">
        <v>797</v>
      </c>
      <c r="C118" s="98" t="s">
        <v>800</v>
      </c>
    </row>
    <row r="119" spans="2:3" ht="27.75" customHeight="1" outlineLevel="1" x14ac:dyDescent="0.45">
      <c r="B119" s="96" t="s">
        <v>797</v>
      </c>
      <c r="C119" s="97" t="s">
        <v>801</v>
      </c>
    </row>
    <row r="120" spans="2:3" ht="27.75" customHeight="1" outlineLevel="1" x14ac:dyDescent="0.45">
      <c r="B120" s="96" t="s">
        <v>802</v>
      </c>
      <c r="C120" s="97" t="s">
        <v>803</v>
      </c>
    </row>
    <row r="121" spans="2:3" ht="27.75" customHeight="1" outlineLevel="1" x14ac:dyDescent="0.45">
      <c r="B121" s="96" t="s">
        <v>802</v>
      </c>
      <c r="C121" s="97" t="s">
        <v>804</v>
      </c>
    </row>
    <row r="122" spans="2:3" ht="27.75" customHeight="1" outlineLevel="1" x14ac:dyDescent="0.45">
      <c r="B122" s="96" t="s">
        <v>802</v>
      </c>
      <c r="C122" s="97" t="s">
        <v>805</v>
      </c>
    </row>
    <row r="123" spans="2:3" ht="27.75" customHeight="1" outlineLevel="1" x14ac:dyDescent="0.45">
      <c r="B123" s="96" t="s">
        <v>802</v>
      </c>
      <c r="C123" s="98" t="s">
        <v>806</v>
      </c>
    </row>
    <row r="124" spans="2:3" ht="27.75" customHeight="1" outlineLevel="1" x14ac:dyDescent="0.45">
      <c r="B124" s="96" t="s">
        <v>807</v>
      </c>
      <c r="C124" s="97" t="s">
        <v>808</v>
      </c>
    </row>
    <row r="125" spans="2:3" ht="27.75" customHeight="1" outlineLevel="1" x14ac:dyDescent="0.45">
      <c r="B125" s="96" t="s">
        <v>807</v>
      </c>
      <c r="C125" s="97" t="s">
        <v>809</v>
      </c>
    </row>
    <row r="126" spans="2:3" ht="27.75" customHeight="1" outlineLevel="1" x14ac:dyDescent="0.45">
      <c r="B126" s="96" t="s">
        <v>807</v>
      </c>
      <c r="C126" s="98" t="s">
        <v>810</v>
      </c>
    </row>
    <row r="127" spans="2:3" ht="27.75" customHeight="1" outlineLevel="1" x14ac:dyDescent="0.45">
      <c r="B127" s="96" t="s">
        <v>807</v>
      </c>
      <c r="C127" s="97" t="s">
        <v>811</v>
      </c>
    </row>
    <row r="128" spans="2:3" ht="27.75" customHeight="1" outlineLevel="1" x14ac:dyDescent="0.45">
      <c r="B128" s="96" t="s">
        <v>812</v>
      </c>
      <c r="C128" s="97" t="s">
        <v>813</v>
      </c>
    </row>
    <row r="129" spans="2:3" ht="27.75" customHeight="1" outlineLevel="1" x14ac:dyDescent="0.45">
      <c r="B129" s="96" t="s">
        <v>812</v>
      </c>
      <c r="C129" s="97" t="s">
        <v>814</v>
      </c>
    </row>
    <row r="130" spans="2:3" ht="27.75" customHeight="1" outlineLevel="1" x14ac:dyDescent="0.45">
      <c r="B130" s="96" t="s">
        <v>812</v>
      </c>
      <c r="C130" s="97" t="s">
        <v>815</v>
      </c>
    </row>
    <row r="131" spans="2:3" ht="27.75" customHeight="1" outlineLevel="1" x14ac:dyDescent="0.45">
      <c r="B131" s="96" t="s">
        <v>812</v>
      </c>
      <c r="C131" s="97" t="s">
        <v>816</v>
      </c>
    </row>
    <row r="132" spans="2:3" ht="27.75" customHeight="1" outlineLevel="1" x14ac:dyDescent="0.45">
      <c r="B132" s="96" t="s">
        <v>817</v>
      </c>
      <c r="C132" s="97" t="s">
        <v>818</v>
      </c>
    </row>
    <row r="133" spans="2:3" ht="27.75" customHeight="1" outlineLevel="1" x14ac:dyDescent="0.45">
      <c r="B133" s="96" t="s">
        <v>817</v>
      </c>
      <c r="C133" s="97" t="s">
        <v>819</v>
      </c>
    </row>
    <row r="134" spans="2:3" ht="27.75" customHeight="1" outlineLevel="1" x14ac:dyDescent="0.45">
      <c r="B134" s="96" t="s">
        <v>820</v>
      </c>
      <c r="C134" s="97" t="s">
        <v>821</v>
      </c>
    </row>
    <row r="135" spans="2:3" ht="27.75" customHeight="1" outlineLevel="1" x14ac:dyDescent="0.45">
      <c r="B135" s="96" t="s">
        <v>820</v>
      </c>
      <c r="C135" s="98" t="s">
        <v>822</v>
      </c>
    </row>
    <row r="136" spans="2:3" ht="27.75" customHeight="1" outlineLevel="1" x14ac:dyDescent="0.45">
      <c r="B136" s="96" t="s">
        <v>823</v>
      </c>
      <c r="C136" s="97" t="s">
        <v>824</v>
      </c>
    </row>
    <row r="137" spans="2:3" ht="27.75" customHeight="1" outlineLevel="1" x14ac:dyDescent="0.45">
      <c r="B137" s="96" t="s">
        <v>823</v>
      </c>
      <c r="C137" s="98" t="s">
        <v>825</v>
      </c>
    </row>
    <row r="138" spans="2:3" ht="27.75" customHeight="1" outlineLevel="1" x14ac:dyDescent="0.45">
      <c r="B138" s="96" t="s">
        <v>823</v>
      </c>
      <c r="C138" s="97" t="s">
        <v>826</v>
      </c>
    </row>
    <row r="139" spans="2:3" ht="27.75" customHeight="1" outlineLevel="1" x14ac:dyDescent="0.45">
      <c r="B139" s="96" t="s">
        <v>827</v>
      </c>
      <c r="C139" s="98" t="s">
        <v>828</v>
      </c>
    </row>
    <row r="140" spans="2:3" ht="27.75" customHeight="1" outlineLevel="1" x14ac:dyDescent="0.45">
      <c r="B140" s="96" t="s">
        <v>827</v>
      </c>
      <c r="C140" s="97" t="s">
        <v>829</v>
      </c>
    </row>
    <row r="141" spans="2:3" ht="27.75" customHeight="1" outlineLevel="1" x14ac:dyDescent="0.45">
      <c r="B141" s="96" t="s">
        <v>827</v>
      </c>
      <c r="C141" s="97" t="s">
        <v>830</v>
      </c>
    </row>
    <row r="142" spans="2:3" ht="27.75" customHeight="1" outlineLevel="1" x14ac:dyDescent="0.45">
      <c r="B142" s="96" t="s">
        <v>831</v>
      </c>
      <c r="C142" s="97" t="s">
        <v>832</v>
      </c>
    </row>
    <row r="143" spans="2:3" ht="27.75" customHeight="1" outlineLevel="1" x14ac:dyDescent="0.45">
      <c r="B143" s="96" t="s">
        <v>831</v>
      </c>
      <c r="C143" s="97" t="s">
        <v>833</v>
      </c>
    </row>
    <row r="144" spans="2:3" ht="27.75" customHeight="1" outlineLevel="1" x14ac:dyDescent="0.45">
      <c r="B144" s="96" t="s">
        <v>831</v>
      </c>
      <c r="C144" s="98" t="s">
        <v>834</v>
      </c>
    </row>
    <row r="145" spans="1:4" ht="7.5" customHeight="1" x14ac:dyDescent="0.45"/>
    <row r="146" spans="1:4" ht="21.75" customHeight="1" x14ac:dyDescent="0.45">
      <c r="A146" s="101" t="s">
        <v>835</v>
      </c>
      <c r="B146" s="101"/>
      <c r="C146" s="101"/>
      <c r="D146" s="101"/>
    </row>
    <row r="147" spans="1:4" ht="18" customHeight="1" outlineLevel="1" x14ac:dyDescent="0.45">
      <c r="B147" s="74" t="s">
        <v>836</v>
      </c>
      <c r="C147" s="74" t="s">
        <v>629</v>
      </c>
    </row>
    <row r="148" spans="1:4" ht="19.5" customHeight="1" outlineLevel="1" x14ac:dyDescent="0.45">
      <c r="B148" s="99" t="s">
        <v>837</v>
      </c>
      <c r="C148" s="73" t="s">
        <v>838</v>
      </c>
    </row>
    <row r="149" spans="1:4" ht="19.5" customHeight="1" outlineLevel="1" x14ac:dyDescent="0.45">
      <c r="B149" s="99" t="s">
        <v>839</v>
      </c>
      <c r="C149" s="73" t="s">
        <v>840</v>
      </c>
    </row>
    <row r="150" spans="1:4" ht="19.5" customHeight="1" outlineLevel="1" x14ac:dyDescent="0.45">
      <c r="B150" s="99" t="s">
        <v>841</v>
      </c>
      <c r="C150" s="73" t="s">
        <v>842</v>
      </c>
    </row>
    <row r="151" spans="1:4" ht="19.5" customHeight="1" outlineLevel="1" x14ac:dyDescent="0.45">
      <c r="B151" s="99" t="s">
        <v>843</v>
      </c>
      <c r="C151" s="73" t="s">
        <v>844</v>
      </c>
    </row>
    <row r="152" spans="1:4" ht="19.5" customHeight="1" outlineLevel="1" x14ac:dyDescent="0.45">
      <c r="B152" s="99" t="s">
        <v>845</v>
      </c>
      <c r="C152" s="73" t="s">
        <v>846</v>
      </c>
    </row>
    <row r="153" spans="1:4" ht="19.5" customHeight="1" outlineLevel="1" x14ac:dyDescent="0.45">
      <c r="B153" s="99" t="s">
        <v>847</v>
      </c>
      <c r="C153" s="73" t="s">
        <v>848</v>
      </c>
    </row>
    <row r="154" spans="1:4" ht="19.5" customHeight="1" outlineLevel="1" x14ac:dyDescent="0.45">
      <c r="B154" s="99" t="s">
        <v>849</v>
      </c>
      <c r="C154" s="73" t="s">
        <v>850</v>
      </c>
    </row>
    <row r="155" spans="1:4" ht="19.5" customHeight="1" outlineLevel="1" x14ac:dyDescent="0.45">
      <c r="B155" s="99" t="s">
        <v>851</v>
      </c>
      <c r="C155" s="73" t="s">
        <v>852</v>
      </c>
    </row>
    <row r="156" spans="1:4" ht="19.5" customHeight="1" outlineLevel="1" x14ac:dyDescent="0.45">
      <c r="B156" s="99" t="s">
        <v>853</v>
      </c>
      <c r="C156" s="73" t="s">
        <v>854</v>
      </c>
    </row>
    <row r="157" spans="1:4" ht="19.5" customHeight="1" outlineLevel="1" x14ac:dyDescent="0.45">
      <c r="B157" s="99" t="s">
        <v>855</v>
      </c>
      <c r="C157" s="73" t="s">
        <v>856</v>
      </c>
    </row>
    <row r="158" spans="1:4" ht="19.5" customHeight="1" outlineLevel="1" x14ac:dyDescent="0.45">
      <c r="B158" s="99" t="s">
        <v>857</v>
      </c>
      <c r="C158" s="73" t="s">
        <v>858</v>
      </c>
    </row>
    <row r="159" spans="1:4" ht="19.5" customHeight="1" outlineLevel="1" x14ac:dyDescent="0.45">
      <c r="B159" s="99" t="s">
        <v>859</v>
      </c>
      <c r="C159" s="73" t="s">
        <v>860</v>
      </c>
    </row>
    <row r="160" spans="1:4" ht="19.5" customHeight="1" outlineLevel="1" x14ac:dyDescent="0.45">
      <c r="B160" s="99" t="s">
        <v>861</v>
      </c>
      <c r="C160" s="73" t="s">
        <v>862</v>
      </c>
    </row>
    <row r="161" spans="1:4" ht="19.5" customHeight="1" outlineLevel="1" x14ac:dyDescent="0.45">
      <c r="B161" s="99" t="s">
        <v>863</v>
      </c>
      <c r="C161" s="73" t="s">
        <v>864</v>
      </c>
    </row>
    <row r="162" spans="1:4" ht="7.5" customHeight="1" x14ac:dyDescent="0.45"/>
    <row r="163" spans="1:4" ht="19.5" customHeight="1" x14ac:dyDescent="0.45">
      <c r="A163" s="106" t="s">
        <v>865</v>
      </c>
      <c r="B163" s="106"/>
      <c r="C163" s="106"/>
      <c r="D163" s="106"/>
    </row>
  </sheetData>
  <mergeCells count="17">
    <mergeCell ref="A146:D146"/>
    <mergeCell ref="A163:D163"/>
    <mergeCell ref="A61:D61"/>
    <mergeCell ref="A67:D67"/>
    <mergeCell ref="A71:D71"/>
    <mergeCell ref="A79:D79"/>
    <mergeCell ref="A80:D80"/>
    <mergeCell ref="A44:D44"/>
    <mergeCell ref="A45:D45"/>
    <mergeCell ref="A46:D46"/>
    <mergeCell ref="A51:D51"/>
    <mergeCell ref="A56:D56"/>
    <mergeCell ref="A1:D1"/>
    <mergeCell ref="A2:D2"/>
    <mergeCell ref="A4:D4"/>
    <mergeCell ref="A13:D13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Assumptions</vt:lpstr>
      <vt:lpstr>Total Budget</vt:lpstr>
      <vt:lpstr>Land</vt:lpstr>
      <vt:lpstr>Improvements</vt:lpstr>
      <vt:lpstr>Sources &amp; Uses</vt:lpstr>
      <vt:lpstr>Monthly Cash Flow</vt:lpstr>
      <vt:lpstr>Dev Budget</vt:lpstr>
      <vt:lpstr>Capital Stack</vt:lpstr>
      <vt:lpstr>Pro Forma</vt:lpstr>
      <vt:lpstr>JV Waterfall</vt:lpstr>
      <vt:lpstr>Cap Events</vt:lpstr>
      <vt:lpstr>Balance Sheet</vt:lpstr>
      <vt:lpstr>P&amp;L</vt:lpstr>
      <vt:lpstr>Sensitivity</vt:lpstr>
      <vt:lpstr>📋 User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Van Waldick</cp:lastModifiedBy>
  <cp:revision>0</cp:revision>
  <dcterms:created xsi:type="dcterms:W3CDTF">2026-04-14T00:52:35Z</dcterms:created>
  <dcterms:modified xsi:type="dcterms:W3CDTF">2026-04-14T02:32:07Z</dcterms:modified>
  <dc:language>en-US</dc:language>
</cp:coreProperties>
</file>