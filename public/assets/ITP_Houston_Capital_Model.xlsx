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Total Budget" sheetId="3" state="visible" r:id="rId5"/>
    <sheet name="Land" sheetId="4" state="visible" r:id="rId6"/>
    <sheet name="Improvements" sheetId="5" state="visible" r:id="rId7"/>
    <sheet name="Sources &amp; Uses" sheetId="6" state="visible" r:id="rId8"/>
    <sheet name="Monthly Cash Flow" sheetId="7" state="visible" r:id="rId9"/>
    <sheet name="Dev Budget" sheetId="8" state="visible" r:id="rId10"/>
    <sheet name="Capital Stack" sheetId="9" state="visible" r:id="rId11"/>
    <sheet name="Pro Forma" sheetId="10" state="visible" r:id="rId12"/>
    <sheet name="JV Waterfall" sheetId="11" state="visible" r:id="rId13"/>
    <sheet name="Cap Events" sheetId="12" state="visible" r:id="rId14"/>
    <sheet name="Balance Sheet" sheetId="13" state="visible" r:id="rId15"/>
    <sheet name="P&amp;L" sheetId="14" state="visible" r:id="rId16"/>
    <sheet name="Sensitivity" sheetId="15" state="visible" r:id="rId17"/>
    <sheet name="User Instruction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<sst xmlns="http://schemas.openxmlformats.org/spreadsheetml/2006/main" count="874" uniqueCount="692">
  <si>
    <t xml:space="preserve">INTERNATIONAL TRADE PARK HOUSTON</t>
  </si>
  <si>
    <t xml:space="preserve">Capital Model  |  PLUSAdvantage™ 2026  —  CONFIDENTIAL</t>
  </si>
  <si>
    <t xml:space="preserve">PROJECT SNAPSHOT</t>
  </si>
  <si>
    <t xml:space="preserve">Total Acres</t>
  </si>
  <si>
    <t xml:space="preserve">Net Lot SF</t>
  </si>
  <si>
    <t xml:space="preserve">Total Lots</t>
  </si>
  <si>
    <t xml:space="preserve">Gross Lot Value</t>
  </si>
  <si>
    <t xml:space="preserve">136</t>
  </si>
  <si>
    <t xml:space="preserve">4,337,705</t>
  </si>
  <si>
    <t xml:space="preserve">30</t>
  </si>
  <si>
    <t xml:space="preserve">$39,390,437</t>
  </si>
  <si>
    <t xml:space="preserve">Total Revenue</t>
  </si>
  <si>
    <t xml:space="preserve">Total Project Cost</t>
  </si>
  <si>
    <t xml:space="preserve">Total Profit</t>
  </si>
  <si>
    <t xml:space="preserve">Project IRR</t>
  </si>
  <si>
    <t xml:space="preserve">$61,214,819</t>
  </si>
  <si>
    <t xml:space="preserve">$38,058,952</t>
  </si>
  <si>
    <t xml:space="preserve">$23,155,868</t>
  </si>
  <si>
    <t xml:space="preserve">63.6%</t>
  </si>
  <si>
    <t xml:space="preserve">Project Multiple</t>
  </si>
  <si>
    <t xml:space="preserve">Equity IRR</t>
  </si>
  <si>
    <t xml:space="preserve">Equity Multiple</t>
  </si>
  <si>
    <t xml:space="preserve">Peak Loan Balance</t>
  </si>
  <si>
    <t xml:space="preserve">3.03x</t>
  </si>
  <si>
    <t xml:space="preserve">39.3%</t>
  </si>
  <si>
    <t xml:space="preserve">2.11x</t>
  </si>
  <si>
    <t xml:space="preserve">$671,535</t>
  </si>
  <si>
    <t xml:space="preserve">TAB DIRECTORY</t>
  </si>
  <si>
    <t xml:space="preserve">Cover</t>
  </si>
  <si>
    <t xml:space="preserve">Project overview, KPI tiles, color legend</t>
  </si>
  <si>
    <t xml:space="preserve">Assumptions</t>
  </si>
  <si>
    <t xml:space="preserve">ALL inputs — lot pricing, timeline, costs, MUD, equity terms</t>
  </si>
  <si>
    <t xml:space="preserve">Total Budget</t>
  </si>
  <si>
    <t xml:space="preserve">Full project budget: Land + Horizontal + Soft + Vertical + Financing</t>
  </si>
  <si>
    <t xml:space="preserve">Land</t>
  </si>
  <si>
    <t xml:space="preserve">Parcel breakdown, acres by use, lot value analysis, absorption</t>
  </si>
  <si>
    <t xml:space="preserve">Improvements</t>
  </si>
  <si>
    <t xml:space="preserve">Horizontal infrastructure detail, unit costs, phasing schedule</t>
  </si>
  <si>
    <t xml:space="preserve">Sources &amp; Uses</t>
  </si>
  <si>
    <t xml:space="preserve">Capital balancing: all uses vs all sources, coverage ratios</t>
  </si>
  <si>
    <t xml:space="preserve">Monthly Cash Flow</t>
  </si>
  <si>
    <t xml:space="preserve">50-month draw schedule, MUD receipts, lot proceeds, loan balance</t>
  </si>
  <si>
    <t xml:space="preserve">Dev Budget</t>
  </si>
  <si>
    <t xml:space="preserve">Uses of Funds summary with % of total and $/SF columns</t>
  </si>
  <si>
    <t xml:space="preserve">Capital Stack</t>
  </si>
  <si>
    <t xml:space="preserve">MUD bonds, construction loan, equity tranche, underwriting tests</t>
  </si>
  <si>
    <t xml:space="preserve">Pro Forma</t>
  </si>
  <si>
    <t xml:space="preserve">Revenue summary, cost summary, lot sales by type, absorption</t>
  </si>
  <si>
    <t xml:space="preserve">JV Waterfall</t>
  </si>
  <si>
    <t xml:space="preserve">4-step distribution: capital return → preferred → 50/50 split</t>
  </si>
  <si>
    <t xml:space="preserve">Cap Events</t>
  </si>
  <si>
    <t xml:space="preserve">Scenario A: EP buyout  |  Scenario B: Full development</t>
  </si>
  <si>
    <t xml:space="preserve">Balance Sheet</t>
  </si>
  <si>
    <t xml:space="preserve">Day 1 / 50% Sold / Full Sellout equity snapshots</t>
  </si>
  <si>
    <t xml:space="preserve">P&amp;L</t>
  </si>
  <si>
    <t xml:space="preserve">Full income statement — revenue through net profit &amp; distributions</t>
  </si>
  <si>
    <t xml:space="preserve">Sensitivity</t>
  </si>
  <si>
    <t xml:space="preserve">Lot price vs hard cost matrix + lot price vs lots sold matrix</t>
  </si>
  <si>
    <t xml:space="preserve">User Instructions</t>
  </si>
  <si>
    <t xml:space="preserve">Copilot guide, tab directory, 43-prompt library</t>
  </si>
  <si>
    <t xml:space="preserve">Total Row</t>
  </si>
  <si>
    <t xml:space="preserve">Warm cream background — section subtotal / total</t>
  </si>
  <si>
    <t xml:space="preserve">Section</t>
  </si>
  <si>
    <t xml:space="preserve">Gold fill / navy text — section header</t>
  </si>
  <si>
    <t xml:space="preserve">Title</t>
  </si>
  <si>
    <t xml:space="preserve">Navy fill / gold text — title bar</t>
  </si>
  <si>
    <t xml:space="preserve">INTERNATIONAL TRADE PARK HOUSTON — ASSUMPTIONS</t>
  </si>
  <si>
    <t xml:space="preserve">All highlighted cells are user-changeable inputs</t>
  </si>
  <si>
    <t xml:space="preserve">PROPERTY INFORMATION</t>
  </si>
  <si>
    <t xml:space="preserve">Project Name</t>
  </si>
  <si>
    <t xml:space="preserve">International Trade Park Houston</t>
  </si>
  <si>
    <t xml:space="preserve">Location</t>
  </si>
  <si>
    <t xml:space="preserve">Houston, Texas</t>
  </si>
  <si>
    <t xml:space="preserve">Total Gross Acres</t>
  </si>
  <si>
    <t xml:space="preserve">Net Lot Acres</t>
  </si>
  <si>
    <t xml:space="preserve">LOT MIX &amp; PRICING</t>
  </si>
  <si>
    <t xml:space="preserve">Lot Type</t>
  </si>
  <si>
    <t xml:space="preserve"># Lots</t>
  </si>
  <si>
    <t xml:space="preserve">Acres</t>
  </si>
  <si>
    <t xml:space="preserve">Price/SF</t>
  </si>
  <si>
    <t xml:space="preserve">Gross Value</t>
  </si>
  <si>
    <t xml:space="preserve">% of Total</t>
  </si>
  <si>
    <t xml:space="preserve">  Industrial (27.6 ac avg)</t>
  </si>
  <si>
    <t xml:space="preserve">  Retail (1-acre lots)</t>
  </si>
  <si>
    <t xml:space="preserve">  Multifamily</t>
  </si>
  <si>
    <t xml:space="preserve">TOTAL LOT VALUE</t>
  </si>
  <si>
    <t xml:space="preserve">PROJECT TIMELINE</t>
  </si>
  <si>
    <t xml:space="preserve">Project Start Date</t>
  </si>
  <si>
    <t xml:space="preserve">February 2026</t>
  </si>
  <si>
    <t xml:space="preserve">Project End Date</t>
  </si>
  <si>
    <t xml:space="preserve">April 2030</t>
  </si>
  <si>
    <t xml:space="preserve">Project Duration (Months)</t>
  </si>
  <si>
    <t xml:space="preserve">Sales Start (Month #)</t>
  </si>
  <si>
    <t xml:space="preserve">Sales End (Month #)</t>
  </si>
  <si>
    <t xml:space="preserve">MUD Bond 1st Issuance (Month #)</t>
  </si>
  <si>
    <t xml:space="preserve">MUD Bond 2nd Issuance (Month #)</t>
  </si>
  <si>
    <t xml:space="preserve">HARD COSTS</t>
  </si>
  <si>
    <t xml:space="preserve">  Water System</t>
  </si>
  <si>
    <t xml:space="preserve">  Sanitary Sewer</t>
  </si>
  <si>
    <t xml:space="preserve">  Storm Sewer</t>
  </si>
  <si>
    <t xml:space="preserve">  Roadway</t>
  </si>
  <si>
    <t xml:space="preserve">  Erosion Control</t>
  </si>
  <si>
    <t xml:space="preserve">  Contingency (Hard)</t>
  </si>
  <si>
    <t xml:space="preserve">Total Hard Costs</t>
  </si>
  <si>
    <t xml:space="preserve">SOFT COSTS</t>
  </si>
  <si>
    <t xml:space="preserve">  Testing / Inspection</t>
  </si>
  <si>
    <t xml:space="preserve">  Engineering &amp; Survey</t>
  </si>
  <si>
    <t xml:space="preserve">Total Soft Costs</t>
  </si>
  <si>
    <t xml:space="preserve">MUD BOND ASSUMPTIONS</t>
  </si>
  <si>
    <t xml:space="preserve">MUD Bond Principal — Total</t>
  </si>
  <si>
    <t xml:space="preserve">MUD Operation Cost</t>
  </si>
  <si>
    <t xml:space="preserve">Third Party / Legal</t>
  </si>
  <si>
    <t xml:space="preserve">CONSTRUCTION LOAN</t>
  </si>
  <si>
    <t xml:space="preserve">Loan Interest Rate (Annual)</t>
  </si>
  <si>
    <t xml:space="preserve">Loan Broker Fee ($)</t>
  </si>
  <si>
    <t xml:space="preserve">Lender Fee ($)</t>
  </si>
  <si>
    <t xml:space="preserve">Title / Closing</t>
  </si>
  <si>
    <t xml:space="preserve">Loan Interest Paid</t>
  </si>
  <si>
    <t xml:space="preserve">EQUITY PARTNER</t>
  </si>
  <si>
    <t xml:space="preserve">Deemed Land Value (EP Contribution)</t>
  </si>
  <si>
    <t xml:space="preserve">Preferred Return Rate (Annual)</t>
  </si>
  <si>
    <t xml:space="preserve">Profit Split — Developer (%)</t>
  </si>
  <si>
    <t xml:space="preserve">Profit Split — EP (%)</t>
  </si>
  <si>
    <t xml:space="preserve">Sales Commission Rate</t>
  </si>
  <si>
    <t xml:space="preserve">Developer Fee Rate</t>
  </si>
  <si>
    <t xml:space="preserve">INTERNATIONAL TRADE PARK HOUSTON — TOTAL PROJECT BUDGET</t>
  </si>
  <si>
    <t xml:space="preserve">Land  ·  Horizontal Improvements  ·  Soft Costs  ·  Vertical  ·  Financing  ·  Contingency</t>
  </si>
  <si>
    <t xml:space="preserve">TOTAL BUDGET SUMMARY</t>
  </si>
  <si>
    <t xml:space="preserve">Budget Category</t>
  </si>
  <si>
    <t xml:space="preserve">Budget Amount</t>
  </si>
  <si>
    <t xml:space="preserve">$ / Lot</t>
  </si>
  <si>
    <t xml:space="preserve">$ / SF</t>
  </si>
  <si>
    <t xml:space="preserve">% Total</t>
  </si>
  <si>
    <t xml:space="preserve">% HC</t>
  </si>
  <si>
    <t xml:space="preserve">Status</t>
  </si>
  <si>
    <t xml:space="preserve">Notes</t>
  </si>
  <si>
    <t xml:space="preserve">1. LAND ACQUISITION</t>
  </si>
  <si>
    <t xml:space="preserve">  Deemed Land Value (EP Contribution)</t>
  </si>
  <si>
    <t xml:space="preserve">land equity</t>
  </si>
  <si>
    <t xml:space="preserve">  Land Carry / Holding Costs</t>
  </si>
  <si>
    <t xml:space="preserve">if any cash cost</t>
  </si>
  <si>
    <t xml:space="preserve">  Due Diligence / Environmental</t>
  </si>
  <si>
    <t xml:space="preserve">Phase I/II ESA</t>
  </si>
  <si>
    <t xml:space="preserve">  Closing Costs</t>
  </si>
  <si>
    <t xml:space="preserve">TOTAL LAND</t>
  </si>
  <si>
    <t xml:space="preserve">2. HORIZONTAL IMPROVEMENTS (HARD COSTS)</t>
  </si>
  <si>
    <t xml:space="preserve">Potable water distribution</t>
  </si>
  <si>
    <t xml:space="preserve">Gravity sewer + lift stations</t>
  </si>
  <si>
    <t xml:space="preserve">  Storm Sewer / Detention</t>
  </si>
  <si>
    <t xml:space="preserve">Detention pond + storm mains</t>
  </si>
  <si>
    <t xml:space="preserve">  Roadway &amp; Paving</t>
  </si>
  <si>
    <t xml:space="preserve">Internal roads + curb &amp; gutter</t>
  </si>
  <si>
    <t xml:space="preserve">  Erosion Control / SWPPP</t>
  </si>
  <si>
    <t xml:space="preserve">Silt fence, BMP measures</t>
  </si>
  <si>
    <t xml:space="preserve">~1.2% of hard costs</t>
  </si>
  <si>
    <t xml:space="preserve">TOTAL HORIZONTAL IMPROVEMENTS</t>
  </si>
  <si>
    <t xml:space="preserve">3. SOFT COSTS</t>
  </si>
  <si>
    <t xml:space="preserve">  Testing / Materials Inspection</t>
  </si>
  <si>
    <t xml:space="preserve">Geotech, compaction, materials</t>
  </si>
  <si>
    <t xml:space="preserve">Civil engineering, platting</t>
  </si>
  <si>
    <t xml:space="preserve">  Architecture / Vertical Design</t>
  </si>
  <si>
    <t xml:space="preserve">N/A — land only</t>
  </si>
  <si>
    <t xml:space="preserve">  Permitting &amp; Fees</t>
  </si>
  <si>
    <t xml:space="preserve">City/county permits</t>
  </si>
  <si>
    <t xml:space="preserve">  Contingency (Soft)</t>
  </si>
  <si>
    <t xml:space="preserve">TOTAL SOFT COSTS</t>
  </si>
  <si>
    <t xml:space="preserve">4. VERTICAL CONSTRUCTION</t>
  </si>
  <si>
    <t xml:space="preserve">  Industrial Buildings (shell)</t>
  </si>
  <si>
    <t xml:space="preserve">Future Phase — land sale only</t>
  </si>
  <si>
    <t xml:space="preserve">  Retail Shell / Pad Sites</t>
  </si>
  <si>
    <t xml:space="preserve">Future Phase — pad sale only</t>
  </si>
  <si>
    <t xml:space="preserve">  Multifamily Structures</t>
  </si>
  <si>
    <t xml:space="preserve">Future Phase — lot sale only</t>
  </si>
  <si>
    <t xml:space="preserve">  Shared Amenities / Landscaping</t>
  </si>
  <si>
    <t xml:space="preserve">  Vertical Contingency</t>
  </si>
  <si>
    <t xml:space="preserve">TOTAL VERTICAL CONSTRUCTION</t>
  </si>
  <si>
    <t xml:space="preserve">5. FINANCING &amp; TRANSACTION COSTS</t>
  </si>
  <si>
    <t xml:space="preserve">  Developer Fee (5%)</t>
  </si>
  <si>
    <t xml:space="preserve">5% of HC + SC</t>
  </si>
  <si>
    <t xml:space="preserve">  Loan Broker Fee</t>
  </si>
  <si>
    <t xml:space="preserve">  Lender Fee / Origination</t>
  </si>
  <si>
    <t xml:space="preserve">  Loan Interest</t>
  </si>
  <si>
    <t xml:space="preserve">11% on peak draw</t>
  </si>
  <si>
    <t xml:space="preserve">  MUD District Operation</t>
  </si>
  <si>
    <t xml:space="preserve">Bond-funded ops reserve</t>
  </si>
  <si>
    <t xml:space="preserve">  Third Party / Bond Counsel</t>
  </si>
  <si>
    <t xml:space="preserve">  Title &amp; Closing</t>
  </si>
  <si>
    <t xml:space="preserve">  Sales Commission (4%)</t>
  </si>
  <si>
    <t xml:space="preserve">Revenue-side cost</t>
  </si>
  <si>
    <t xml:space="preserve">TOTAL FINANCING &amp; TRANSACTION</t>
  </si>
  <si>
    <t xml:space="preserve">TOTAL PROJECT BUDGET (ALL-IN)</t>
  </si>
  <si>
    <t xml:space="preserve">QUICK METRICS</t>
  </si>
  <si>
    <t xml:space="preserve">Cost Per Gross Acre</t>
  </si>
  <si>
    <t xml:space="preserve">Cost Per Net SF</t>
  </si>
  <si>
    <t xml:space="preserve">Cost Per Lot</t>
  </si>
  <si>
    <t xml:space="preserve">Hard Cost %</t>
  </si>
  <si>
    <t xml:space="preserve">Land %</t>
  </si>
  <si>
    <t xml:space="preserve">Soft + Finance %</t>
  </si>
  <si>
    <t xml:space="preserve">INTERNATIONAL TRADE PARK HOUSTON — LAND ANALYSIS</t>
  </si>
  <si>
    <t xml:space="preserve">Parcel Summary  ·  Acres by Use  ·  Value/SF  ·  Absorption</t>
  </si>
  <si>
    <t xml:space="preserve">SITE OVERVIEW</t>
  </si>
  <si>
    <t xml:space="preserve">Including roads, drainage, common areas</t>
  </si>
  <si>
    <t xml:space="preserve">Net Lot Acres (Saleable)</t>
  </si>
  <si>
    <t xml:space="preserve">Lots available for sale</t>
  </si>
  <si>
    <t xml:space="preserve">Gross-to-Net Ratio</t>
  </si>
  <si>
    <t xml:space="preserve">Net / Gross</t>
  </si>
  <si>
    <t xml:space="preserve">All product types</t>
  </si>
  <si>
    <t xml:space="preserve">Average Lot Size (SF)</t>
  </si>
  <si>
    <t xml:space="preserve">Avg across all types</t>
  </si>
  <si>
    <t xml:space="preserve">Average Lot Size (Acres)</t>
  </si>
  <si>
    <t xml:space="preserve">LOT BREAKDOWN BY TYPE</t>
  </si>
  <si>
    <t xml:space="preserve">Use Type</t>
  </si>
  <si>
    <t xml:space="preserve">Lots</t>
  </si>
  <si>
    <t xml:space="preserve">SF</t>
  </si>
  <si>
    <t xml:space="preserve">% Site</t>
  </si>
  <si>
    <t xml:space="preserve">Avg Lot SF</t>
  </si>
  <si>
    <t xml:space="preserve">$/Acre</t>
  </si>
  <si>
    <t xml:space="preserve">  Industrial</t>
  </si>
  <si>
    <t xml:space="preserve">  Retail</t>
  </si>
  <si>
    <t xml:space="preserve">TOTAL</t>
  </si>
  <si>
    <t xml:space="preserve">LAND VALUE ANALYSIS</t>
  </si>
  <si>
    <t xml:space="preserve">Metric</t>
  </si>
  <si>
    <t xml:space="preserve">Value</t>
  </si>
  <si>
    <t xml:space="preserve">Note</t>
  </si>
  <si>
    <t xml:space="preserve">Deemed Land Value (EP Equity)</t>
  </si>
  <si>
    <t xml:space="preserve">Non-cash equity contribution</t>
  </si>
  <si>
    <t xml:space="preserve">Gross Lot Value (As-Developed)</t>
  </si>
  <si>
    <t xml:space="preserve">Sum of all lot types</t>
  </si>
  <si>
    <t xml:space="preserve">Land Residual (Gross - Deemed)</t>
  </si>
  <si>
    <t xml:space="preserve">Uplift from development</t>
  </si>
  <si>
    <t xml:space="preserve">Land Value / Gross Acre</t>
  </si>
  <si>
    <t xml:space="preserve">Land Value / Net SF</t>
  </si>
  <si>
    <t xml:space="preserve">Land-to-Value Ratio</t>
  </si>
  <si>
    <t xml:space="preserve">Land cost / As-built value</t>
  </si>
  <si>
    <t xml:space="preserve">Net Lot Value (After 4% Comm)</t>
  </si>
  <si>
    <t xml:space="preserve">Net Revenue / Acre (Saleable)</t>
  </si>
  <si>
    <t xml:space="preserve">ABSORPTION &amp; SALES SCHEDULE</t>
  </si>
  <si>
    <t xml:space="preserve">Phase</t>
  </si>
  <si>
    <t xml:space="preserve">Start Mo</t>
  </si>
  <si>
    <t xml:space="preserve">End Mo</t>
  </si>
  <si>
    <t xml:space="preserve">Lots/Mo</t>
  </si>
  <si>
    <t xml:space="preserve">Revenue</t>
  </si>
  <si>
    <t xml:space="preserve">Cumul Rev</t>
  </si>
  <si>
    <t xml:space="preserve">  Industrial Lots</t>
  </si>
  <si>
    <t xml:space="preserve">  Retail Lots</t>
  </si>
  <si>
    <t xml:space="preserve">  Multifamily Lots</t>
  </si>
  <si>
    <t xml:space="preserve">TOTAL LOTS / REVENUE</t>
  </si>
  <si>
    <t xml:space="preserve">INTERNATIONAL TRADE PARK HOUSTON — IMPROVEMENTS BUDGET</t>
  </si>
  <si>
    <t xml:space="preserve">Horizontal Infrastructure  ·  Unit Costs  ·  Timeline  ·  Soft Costs</t>
  </si>
  <si>
    <t xml:space="preserve">HORIZONTAL INFRASTRUCTURE (HARD COSTS)</t>
  </si>
  <si>
    <t xml:space="preserve">System / Description</t>
  </si>
  <si>
    <t xml:space="preserve">Budget</t>
  </si>
  <si>
    <t xml:space="preserve">Duration</t>
  </si>
  <si>
    <t xml:space="preserve">Potable water mains, valves, fire hydrants, meters</t>
  </si>
  <si>
    <t xml:space="preserve">Gravity collection, manholes, lift station</t>
  </si>
  <si>
    <t xml:space="preserve">  Storm Sewer &amp; Detention</t>
  </si>
  <si>
    <t xml:space="preserve">Inlets, mains, detention pond, outlet</t>
  </si>
  <si>
    <t xml:space="preserve">Sub-base, base, asphalt, curb &amp; gutter, striping</t>
  </si>
  <si>
    <t xml:space="preserve">Continuous SWPPP compliance, 50-month project</t>
  </si>
  <si>
    <t xml:space="preserve">  Contingency — Hard</t>
  </si>
  <si>
    <t xml:space="preserve">~1.2% of base hard costs</t>
  </si>
  <si>
    <t xml:space="preserve">TOTAL HARD COSTS</t>
  </si>
  <si>
    <t xml:space="preserve">SOFT COSTS DETAIL</t>
  </si>
  <si>
    <t xml:space="preserve">Description</t>
  </si>
  <si>
    <t xml:space="preserve">% Soft</t>
  </si>
  <si>
    <t xml:space="preserve">Basis</t>
  </si>
  <si>
    <t xml:space="preserve">  Testing &amp; Special Inspection</t>
  </si>
  <si>
    <t xml:space="preserve">Soils, concrete, asphalt testing, geo report</t>
  </si>
  <si>
    <t xml:space="preserve">  Civil Engineering &amp; Survey</t>
  </si>
  <si>
    <t xml:space="preserve">Site design, grading, platting, as-builts</t>
  </si>
  <si>
    <t xml:space="preserve">  Permitting &amp; Impact Fees</t>
  </si>
  <si>
    <t xml:space="preserve">Included in hard cost estimate</t>
  </si>
  <si>
    <t xml:space="preserve">  MUD District Formation</t>
  </si>
  <si>
    <t xml:space="preserve">PID/MUD creation &amp; admin</t>
  </si>
  <si>
    <t xml:space="preserve">  Bond Counsel / Legal</t>
  </si>
  <si>
    <t xml:space="preserve">MUD bond issuance counsel</t>
  </si>
  <si>
    <t xml:space="preserve">  Environmental (Phase I/II)</t>
  </si>
  <si>
    <t xml:space="preserve">Completed pre-acquisition</t>
  </si>
  <si>
    <t xml:space="preserve">TOTAL IMPROVEMENTS BUDGET (H+S)</t>
  </si>
  <si>
    <t xml:space="preserve">UNIT COST BENCHMARKS</t>
  </si>
  <si>
    <t xml:space="preserve">System</t>
  </si>
  <si>
    <t xml:space="preserve">Linear Feet Est.</t>
  </si>
  <si>
    <t xml:space="preserve">$/LF</t>
  </si>
  <si>
    <t xml:space="preserve">  Water (est. 12,000 LF)</t>
  </si>
  <si>
    <t xml:space="preserve">  Sanitary Sewer (9,000 LF)</t>
  </si>
  <si>
    <t xml:space="preserve">  Storm Sewer (8,000 LF)</t>
  </si>
  <si>
    <t xml:space="preserve">  Roadway (6,000 LF)</t>
  </si>
  <si>
    <t xml:space="preserve">INTERNATIONAL TRADE PARK HOUSTON — SOURCES &amp; USES OF CAPITAL</t>
  </si>
  <si>
    <t xml:space="preserve">Balancing Statement  ·  Tranche Detail  ·  Draw Schedule  ·  Coverage Ratios</t>
  </si>
  <si>
    <t xml:space="preserve">USES OF CAPITAL</t>
  </si>
  <si>
    <t xml:space="preserve">SOURCES OF CAPITAL</t>
  </si>
  <si>
    <t xml:space="preserve">Category</t>
  </si>
  <si>
    <t xml:space="preserve">Amount</t>
  </si>
  <si>
    <t xml:space="preserve">Source / Tranche</t>
  </si>
  <si>
    <t xml:space="preserve">LAND</t>
  </si>
  <si>
    <t xml:space="preserve">EQUITY</t>
  </si>
  <si>
    <t xml:space="preserve">    Deemed Land (EP Equity)</t>
  </si>
  <si>
    <t xml:space="preserve">    EP Deemed Land Contribution</t>
  </si>
  <si>
    <t xml:space="preserve">Non-cash equity; 100% of equity tranche</t>
  </si>
  <si>
    <t xml:space="preserve">    Developer Cash Equity</t>
  </si>
  <si>
    <t xml:space="preserve">Zero cash required from developer</t>
  </si>
  <si>
    <t xml:space="preserve">    Water System</t>
  </si>
  <si>
    <t xml:space="preserve">  Total Equity</t>
  </si>
  <si>
    <t xml:space="preserve">    Sanitary Sewer</t>
  </si>
  <si>
    <t xml:space="preserve">MUD BOND PROCEEDS</t>
  </si>
  <si>
    <t xml:space="preserve">    Storm Sewer / Detention</t>
  </si>
  <si>
    <t xml:space="preserve">    MUD Bond Issuance #1 (Mo 15)</t>
  </si>
  <si>
    <t xml:space="preserve">First \$11.7M — Nov 2027</t>
  </si>
  <si>
    <t xml:space="preserve">    Roadway &amp; Paving</t>
  </si>
  <si>
    <t xml:space="preserve">    MUD Bond Issuance #2 (Mo 21)</t>
  </si>
  <si>
    <t xml:space="preserve">Second \$11.7M — May 2028</t>
  </si>
  <si>
    <t xml:space="preserve">    Erosion Control</t>
  </si>
  <si>
    <t xml:space="preserve">  Total MUD Bonds</t>
  </si>
  <si>
    <t xml:space="preserve">Reimburses eligible costs</t>
  </si>
  <si>
    <t xml:space="preserve">    Contingency</t>
  </si>
  <si>
    <t xml:space="preserve">  Total Hard Costs</t>
  </si>
  <si>
    <t xml:space="preserve">    Peak Loan Balance</t>
  </si>
  <si>
    <t xml:space="preserve">11% interest rate</t>
  </si>
  <si>
    <t xml:space="preserve">    Funded from Lot Sales</t>
  </si>
  <si>
    <t xml:space="preserve">Net lot proceeds repay loan</t>
  </si>
  <si>
    <t xml:space="preserve">    Testing / Inspection</t>
  </si>
  <si>
    <t xml:space="preserve">  Total Loan / Lot Proceeds</t>
  </si>
  <si>
    <t xml:space="preserve">    Engineering &amp; Survey</t>
  </si>
  <si>
    <t xml:space="preserve">REVENUE (SURPLUS)</t>
  </si>
  <si>
    <t xml:space="preserve">  Total Soft Costs</t>
  </si>
  <si>
    <t xml:space="preserve">    Lot Sales Net Revenue</t>
  </si>
  <si>
    <t xml:space="preserve">DEVELOPER FEE</t>
  </si>
  <si>
    <t xml:space="preserve">    MUD Bond Proceeds</t>
  </si>
  <si>
    <t xml:space="preserve">Reimbursement of HC</t>
  </si>
  <si>
    <t xml:space="preserve">    Dev Fee (5% HC+SC)</t>
  </si>
  <si>
    <t xml:space="preserve">  Total Revenue</t>
  </si>
  <si>
    <t xml:space="preserve">FINANCE COSTS</t>
  </si>
  <si>
    <t xml:space="preserve">    Loan Broker Fee</t>
  </si>
  <si>
    <t xml:space="preserve">    Lender Fee</t>
  </si>
  <si>
    <t xml:space="preserve">    Loan Interest</t>
  </si>
  <si>
    <t xml:space="preserve">    MUD Operation</t>
  </si>
  <si>
    <t xml:space="preserve">    Third Party / Legal</t>
  </si>
  <si>
    <t xml:space="preserve">    Title &amp; Closing</t>
  </si>
  <si>
    <t xml:space="preserve">  Total Finance Costs</t>
  </si>
  <si>
    <t xml:space="preserve">TOTAL USES</t>
  </si>
  <si>
    <t xml:space="preserve">BALANCING CHECK &amp; COVERAGE RATIOS</t>
  </si>
  <si>
    <t xml:space="preserve">Total Uses of Capital</t>
  </si>
  <si>
    <t xml:space="preserve">Total MUD + Equity Sources</t>
  </si>
  <si>
    <t xml:space="preserve">Total Lot Sale Proceeds</t>
  </si>
  <si>
    <t xml:space="preserve">Total All Sources</t>
  </si>
  <si>
    <t xml:space="preserve">Net Surplus / (Deficit)</t>
  </si>
  <si>
    <t xml:space="preserve">Positive = project cash-on-cash positive</t>
  </si>
  <si>
    <t xml:space="preserve">MUD Coverage Ratio (Bonds/HC)</t>
  </si>
  <si>
    <t xml:space="preserve">Equity Coverage Ratio</t>
  </si>
  <si>
    <t xml:space="preserve">Loan-to-Cost</t>
  </si>
  <si>
    <t xml:space="preserve">Break-Even Lot Price/SF</t>
  </si>
  <si>
    <t xml:space="preserve">INTERNATIONAL TRADE PARK HOUSTON — MONTHLY CASH FLOW</t>
  </si>
  <si>
    <t xml:space="preserve">50-Month Timeline  ·  Capital Draws  ·  MUD Bonds  ·  Lot Sale Receipts  ·  Loan Balance</t>
  </si>
  <si>
    <t xml:space="preserve">LINE ITEM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</si>
  <si>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</si>
  <si>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</si>
  <si>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</si>
  <si>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</si>
  <si>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</si>
  <si>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</si>
  <si>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</si>
  <si>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</si>
  <si>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</si>
  <si>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</si>
  <si>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</si>
  <si>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</si>
  <si>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</si>
  <si>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</si>
  <si>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</si>
  <si>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</si>
  <si>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</si>
  <si>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</si>
  <si>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</si>
  <si>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</si>
  <si>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</si>
  <si>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Nov-27</t>
  </si>
  <si>
    <t xml:space="preserve">Dec-27</t>
  </si>
  <si>
    <t xml:space="preserve">Jan-28</t>
  </si>
  <si>
    <t xml:space="preserve">Feb-28</t>
  </si>
  <si>
    <t xml:space="preserve">Mar-28</t>
  </si>
  <si>
    <t xml:space="preserve">Apr-28</t>
  </si>
  <si>
    <t xml:space="preserve">May-28</t>
  </si>
  <si>
    <t xml:space="preserve">Jun-28</t>
  </si>
  <si>
    <t xml:space="preserve">Jul-28</t>
  </si>
  <si>
    <t xml:space="preserve">Aug-28</t>
  </si>
  <si>
    <t xml:space="preserve">Sep-28</t>
  </si>
  <si>
    <t xml:space="preserve">Oct-28</t>
  </si>
  <si>
    <t xml:space="preserve">Nov-28</t>
  </si>
  <si>
    <t xml:space="preserve">Dec-28</t>
  </si>
  <si>
    <t xml:space="preserve">Jan-29</t>
  </si>
  <si>
    <t xml:space="preserve">Feb-29</t>
  </si>
  <si>
    <t xml:space="preserve">Mar-29</t>
  </si>
  <si>
    <t xml:space="preserve">Apr-29</t>
  </si>
  <si>
    <t xml:space="preserve">May-29</t>
  </si>
  <si>
    <t xml:space="preserve">Jun-29</t>
  </si>
  <si>
    <t xml:space="preserve">Jul-29</t>
  </si>
  <si>
    <t xml:space="preserve">Aug-29</t>
  </si>
  <si>
    <t xml:space="preserve">Sep-29</t>
  </si>
  <si>
    <t xml:space="preserve">Oct-29</t>
  </si>
  <si>
    <t xml:space="preserve">Nov-29</t>
  </si>
  <si>
    <t xml:space="preserve">Dec-29</t>
  </si>
  <si>
    <t xml:space="preserve">Jan-30</t>
  </si>
  <si>
    <t xml:space="preserve">Feb-30</t>
  </si>
  <si>
    <t xml:space="preserve">Mar-30</t>
  </si>
  <si>
    <t xml:space="preserve">CAPITAL DRAWS — HARD COSTS</t>
  </si>
  <si>
    <t xml:space="preserve">  Contingency</t>
  </si>
  <si>
    <t xml:space="preserve">TOTAL HARD COST DRAWS</t>
  </si>
  <si>
    <t xml:space="preserve">CAPITAL DRAWS — SOFT COSTS</t>
  </si>
  <si>
    <t xml:space="preserve">TOTAL SOFT COST DRAWS</t>
  </si>
  <si>
    <t xml:space="preserve">LOT SALE RECEIPTS</t>
  </si>
  <si>
    <t xml:space="preserve">  Industrial Lot Sales (Net)</t>
  </si>
  <si>
    <t xml:space="preserve">  Retail Lot Sales (Net)</t>
  </si>
  <si>
    <t xml:space="preserve">  Multifamily Lot Sales (Net)</t>
  </si>
  <si>
    <t xml:space="preserve">TOTAL LOT SALE RECEIPTS</t>
  </si>
  <si>
    <t xml:space="preserve">  MUD Bond Issuance #1 (Month 15)</t>
  </si>
  <si>
    <t xml:space="preserve">  MUD Bond Issuance #2 (Month 21)</t>
  </si>
  <si>
    <t xml:space="preserve">TOTAL MUD RECEIPTS</t>
  </si>
  <si>
    <t xml:space="preserve">NET CASH FLOW</t>
  </si>
  <si>
    <t xml:space="preserve">NET CASH FLOW (Receipts - Draws)</t>
  </si>
  <si>
    <t xml:space="preserve">CUMULATIVE CASH FLOW</t>
  </si>
  <si>
    <t xml:space="preserve">ESTIMATED LOAN BALANCE</t>
  </si>
  <si>
    <t xml:space="preserve">INTERNATIONAL TRADE PARK HOUSTON — DEVELOPMENT BUDGET</t>
  </si>
  <si>
    <t xml:space="preserve">Uses of Funds &amp; Sources of Funds</t>
  </si>
  <si>
    <t xml:space="preserve">USES OF FUNDS</t>
  </si>
  <si>
    <t xml:space="preserve">SOURCES OF FUNDS</t>
  </si>
  <si>
    <t xml:space="preserve">$/SF</t>
  </si>
  <si>
    <t xml:space="preserve">Source</t>
  </si>
  <si>
    <t xml:space="preserve">MUD Bond Proceeds</t>
  </si>
  <si>
    <t xml:space="preserve">Equity Partner (Deemed Land)</t>
  </si>
  <si>
    <t xml:space="preserve">Construction Loan (Net Draw)</t>
  </si>
  <si>
    <t xml:space="preserve">TOTAL SOURCES</t>
  </si>
  <si>
    <t xml:space="preserve">Developer Fee (5% of Hard+Soft)</t>
  </si>
  <si>
    <t xml:space="preserve">  Lender Fee</t>
  </si>
  <si>
    <t xml:space="preserve">  MUD Operation</t>
  </si>
  <si>
    <t xml:space="preserve">  Third Party / Legal</t>
  </si>
  <si>
    <t xml:space="preserve">  Title / Closing</t>
  </si>
  <si>
    <t xml:space="preserve">Total Finance Costs</t>
  </si>
  <si>
    <t xml:space="preserve">Sales Commission (4% gross lot value)</t>
  </si>
  <si>
    <t xml:space="preserve">TOTAL PROJECT COST (USES)</t>
  </si>
  <si>
    <t xml:space="preserve">INTERNATIONAL TRADE PARK HOUSTON — CAPITAL STACK</t>
  </si>
  <si>
    <t xml:space="preserve">MUD Bond Structure | Construction Loan | Equity</t>
  </si>
  <si>
    <t xml:space="preserve">MUD BOND STRUCTURE</t>
  </si>
  <si>
    <t xml:space="preserve">Parameter</t>
  </si>
  <si>
    <t xml:space="preserve">Amount / Value</t>
  </si>
  <si>
    <t xml:space="preserve">  MUD Bond Principal — Total</t>
  </si>
  <si>
    <t xml:space="preserve">Two issuances</t>
  </si>
  <si>
    <t xml:space="preserve">  First Issuance (Month 15)</t>
  </si>
  <si>
    <t xml:space="preserve">Nov 2027</t>
  </si>
  <si>
    <t xml:space="preserve">  Second Issuance (Month 21)</t>
  </si>
  <si>
    <t xml:space="preserve">May 2028</t>
  </si>
  <si>
    <t xml:space="preserve">  MUD Operation Cost</t>
  </si>
  <si>
    <t xml:space="preserve">Annual ops reserve</t>
  </si>
  <si>
    <t xml:space="preserve">Bond counsel &amp; filing</t>
  </si>
  <si>
    <t xml:space="preserve">  Peak Loan Balance</t>
  </si>
  <si>
    <t xml:space="preserve">  Interest Rate (Annual)</t>
  </si>
  <si>
    <t xml:space="preserve">  Broker Fee</t>
  </si>
  <si>
    <t xml:space="preserve">  Loan Interest Paid</t>
  </si>
  <si>
    <t xml:space="preserve">EQUITY CONTRIBUTION</t>
  </si>
  <si>
    <t xml:space="preserve">  Developer Cash Equity</t>
  </si>
  <si>
    <t xml:space="preserve">CAPITAL STACK SUMMARY</t>
  </si>
  <si>
    <t xml:space="preserve">Tranche</t>
  </si>
  <si>
    <t xml:space="preserve">% of Total Cost</t>
  </si>
  <si>
    <t xml:space="preserve">Cost of Capital</t>
  </si>
  <si>
    <t xml:space="preserve">  MUD Bond Proceeds</t>
  </si>
  <si>
    <t xml:space="preserve">  Construction Loan</t>
  </si>
  <si>
    <t xml:space="preserve">  Equity (Deemed Land)</t>
  </si>
  <si>
    <t xml:space="preserve">TOTAL CAPITAL</t>
  </si>
  <si>
    <t xml:space="preserve">UNDERWRITING TESTS</t>
  </si>
  <si>
    <t xml:space="preserve">Net Lot Value (after 4% commission)</t>
  </si>
  <si>
    <t xml:space="preserve">Total Revenue (Lots + MUD)</t>
  </si>
  <si>
    <t xml:space="preserve">Gross Profit</t>
  </si>
  <si>
    <t xml:space="preserve">Project IRR (Est.)</t>
  </si>
  <si>
    <t xml:space="preserve">Project Multiple (Est.)</t>
  </si>
  <si>
    <t xml:space="preserve">Equity IRR (Est.)</t>
  </si>
  <si>
    <t xml:space="preserve">Equity Multiple (Est.)</t>
  </si>
  <si>
    <t xml:space="preserve">INTERNATIONAL TRADE PARK HOUSTON — PRO FORMA</t>
  </si>
  <si>
    <t xml:space="preserve">Revenue Summary | Lot Sales by Type | Absorption Schedule</t>
  </si>
  <si>
    <t xml:space="preserve">REVENUE SUMMARY</t>
  </si>
  <si>
    <t xml:space="preserve">  Gross Lot Value</t>
  </si>
  <si>
    <t xml:space="preserve">  Less: Sales Commission (4%)</t>
  </si>
  <si>
    <t xml:space="preserve">  Net Lot Revenue</t>
  </si>
  <si>
    <t xml:space="preserve">TOTAL REVENUE</t>
  </si>
  <si>
    <t xml:space="preserve">COST SUMMARY</t>
  </si>
  <si>
    <t xml:space="preserve">  Deemed Land Value</t>
  </si>
  <si>
    <t xml:space="preserve">  Developer Fee</t>
  </si>
  <si>
    <t xml:space="preserve">  Sales Commission</t>
  </si>
  <si>
    <t xml:space="preserve">TOTAL PROJECT COST</t>
  </si>
  <si>
    <t xml:space="preserve">PROFIT SUMMARY</t>
  </si>
  <si>
    <t xml:space="preserve">TOTAL PROFIT</t>
  </si>
  <si>
    <t xml:space="preserve">  Developer Net Profit</t>
  </si>
  <si>
    <t xml:space="preserve">  Equity Partner Net Profit</t>
  </si>
  <si>
    <t xml:space="preserve">LOT SALES BY TYPE</t>
  </si>
  <si>
    <t xml:space="preserve">Net SF</t>
  </si>
  <si>
    <t xml:space="preserve">% Revenue</t>
  </si>
  <si>
    <t xml:space="preserve">ABSORPTION SCHEDULE</t>
  </si>
  <si>
    <t xml:space="preserve">Lot sales months 5-22 from project start (Feb 2026)</t>
  </si>
  <si>
    <t xml:space="preserve">Lots/Month</t>
  </si>
  <si>
    <t xml:space="preserve">Sales Start</t>
  </si>
  <si>
    <t xml:space="preserve">Sales End</t>
  </si>
  <si>
    <t xml:space="preserve">INTERNATIONAL TRADE PARK HOUSTON — JV WATERFALL</t>
  </si>
  <si>
    <t xml:space="preserve">8% Preferred Return + 50/50 Profit Split</t>
  </si>
  <si>
    <t xml:space="preserve">EQUITY STRUCTURE</t>
  </si>
  <si>
    <t xml:space="preserve">Equity Partner</t>
  </si>
  <si>
    <t xml:space="preserve">Developer</t>
  </si>
  <si>
    <t xml:space="preserve">Total</t>
  </si>
  <si>
    <t xml:space="preserve">Initial Contribution (Deemed Land)</t>
  </si>
  <si>
    <t xml:space="preserve">DISTRIBUTION WATERFALL</t>
  </si>
  <si>
    <t xml:space="preserve">  Step 1: Return of Capital (EP)</t>
  </si>
  <si>
    <t xml:space="preserve">  Step 2: 8% Preferred Return (EP)</t>
  </si>
  <si>
    <t xml:space="preserve">8% p.a. on $11.4M</t>
  </si>
  <si>
    <t xml:space="preserve">  Step 3: Return of Dev Capital</t>
  </si>
  <si>
    <t xml:space="preserve">  Step 4: 50/50 Profit Split</t>
  </si>
  <si>
    <t xml:space="preserve">Residual distributable profit</t>
  </si>
  <si>
    <t xml:space="preserve">Distributable Profit</t>
  </si>
  <si>
    <t xml:space="preserve">  50% to Equity Partner</t>
  </si>
  <si>
    <t xml:space="preserve">  50% to Developer</t>
  </si>
  <si>
    <t xml:space="preserve">RETURNS SUMMARY</t>
  </si>
  <si>
    <t xml:space="preserve">Total Distributions</t>
  </si>
  <si>
    <t xml:space="preserve">Net Profit</t>
  </si>
  <si>
    <t xml:space="preserve">IRR (Est.)</t>
  </si>
  <si>
    <t xml:space="preserve">Multiple (Est.)</t>
  </si>
  <si>
    <t xml:space="preserve">INTERNATIONAL TRADE PARK HOUSTON — CAPITAL EVENTS</t>
  </si>
  <si>
    <t xml:space="preserve">Scenario A: JV Partner Buyout  |  Scenario B: Full Development</t>
  </si>
  <si>
    <t xml:space="preserve">SCENARIO A: JV PARTNER BUYOUT</t>
  </si>
  <si>
    <t xml:space="preserve">SCENARIO B: FULL DEVELOPMENT</t>
  </si>
  <si>
    <t xml:space="preserve">Item</t>
  </si>
  <si>
    <t xml:space="preserve">  Buyout Date (Month)</t>
  </si>
  <si>
    <t xml:space="preserve">Approx. mid-project</t>
  </si>
  <si>
    <t xml:space="preserve">  Project Duration (Months)</t>
  </si>
  <si>
    <t xml:space="preserve">50 months</t>
  </si>
  <si>
    <t xml:space="preserve">  EP Contribution Returned</t>
  </si>
  <si>
    <t xml:space="preserve">Return of deemed land</t>
  </si>
  <si>
    <t xml:space="preserve">Lots + MUD</t>
  </si>
  <si>
    <t xml:space="preserve">  Preferred Return Accrued</t>
  </si>
  <si>
    <t xml:space="preserve">8% for 18 months</t>
  </si>
  <si>
    <t xml:space="preserve">  Total Project Cost</t>
  </si>
  <si>
    <t xml:space="preserve">All-in cost</t>
  </si>
  <si>
    <t xml:space="preserve">  Total Buyout Price</t>
  </si>
  <si>
    <t xml:space="preserve">  Total Profit</t>
  </si>
  <si>
    <t xml:space="preserve">  Developer Net Position</t>
  </si>
  <si>
    <t xml:space="preserve">Post-buyout dev profit</t>
  </si>
  <si>
    <t xml:space="preserve">  Developer Share (50%)</t>
  </si>
  <si>
    <t xml:space="preserve">  EP Share (50%)</t>
  </si>
  <si>
    <t xml:space="preserve">INTERNATIONAL TRADE PARK HOUSTON — BALANCE SHEET</t>
  </si>
  <si>
    <t xml:space="preserve">Day 1  |  50% Sold  |  Full Sellout</t>
  </si>
  <si>
    <t xml:space="preserve">EQUITY POSITION</t>
  </si>
  <si>
    <t xml:space="preserve">Day 1</t>
  </si>
  <si>
    <t xml:space="preserve">50% Sold</t>
  </si>
  <si>
    <t xml:space="preserve">Full Sellout</t>
  </si>
  <si>
    <t xml:space="preserve">  ASSETS</t>
  </si>
  <si>
    <t xml:space="preserve">  Land (Deemed Value)</t>
  </si>
  <si>
    <t xml:space="preserve">  Development in Progress</t>
  </si>
  <si>
    <t xml:space="preserve">  Cash / MUD Proceeds Received</t>
  </si>
  <si>
    <t xml:space="preserve">  Lot Receivables</t>
  </si>
  <si>
    <t xml:space="preserve">TOTAL ASSETS</t>
  </si>
  <si>
    <t xml:space="preserve">  LIABILITIES</t>
  </si>
  <si>
    <t xml:space="preserve">  Accrued Preferred Return</t>
  </si>
  <si>
    <t xml:space="preserve">TOTAL LIABILITIES</t>
  </si>
  <si>
    <t xml:space="preserve">  EQUITY</t>
  </si>
  <si>
    <t xml:space="preserve">  Equity Partner</t>
  </si>
  <si>
    <t xml:space="preserve">  Developer</t>
  </si>
  <si>
    <t xml:space="preserve">  Retained Earnings</t>
  </si>
  <si>
    <t xml:space="preserve">TOTAL EQUITY</t>
  </si>
  <si>
    <t xml:space="preserve">INTERNATIONAL TRADE PARK HOUSTON — P&amp;L STATEMENT</t>
  </si>
  <si>
    <t xml:space="preserve">Full Project Profit &amp; Loss</t>
  </si>
  <si>
    <t xml:space="preserve">REVENUE</t>
  </si>
  <si>
    <t xml:space="preserve">  Gross Lot Sales</t>
  </si>
  <si>
    <t xml:space="preserve">  Less: Sales Commission</t>
  </si>
  <si>
    <t xml:space="preserve">COST OF SALES (HARD COSTS)</t>
  </si>
  <si>
    <t xml:space="preserve">TOTAL COST OF SALES (HARD COSTS)</t>
  </si>
  <si>
    <t xml:space="preserve">OTHER PROJECT COSTS</t>
  </si>
  <si>
    <t xml:space="preserve">  Finance Costs</t>
  </si>
  <si>
    <t xml:space="preserve">TOTAL OTHER PROJECT COSTS</t>
  </si>
  <si>
    <t xml:space="preserve">GROSS PROFIT (EBITDA)</t>
  </si>
  <si>
    <t xml:space="preserve">FINANCE COSTS (Below EBITDA)</t>
  </si>
  <si>
    <t xml:space="preserve">TOTAL FINANCE COSTS</t>
  </si>
  <si>
    <t xml:space="preserve">NET PROFIT</t>
  </si>
  <si>
    <t xml:space="preserve">DISTRIBUTIONS</t>
  </si>
  <si>
    <t xml:space="preserve">Equity Partner (Return of Capital + Preferred + 50%)</t>
  </si>
  <si>
    <t xml:space="preserve">Developer (Dev Fee + 50% Profit)</t>
  </si>
  <si>
    <t xml:space="preserve">INTERNATIONAL TRADE PARK HOUSTON — SENSITIVITY ANALYSIS</t>
  </si>
  <si>
    <t xml:space="preserve">Lot Price/SF vs Lots Sold  |  Lot Price vs Hard Cost</t>
  </si>
  <si>
    <t xml:space="preserve">MATRIX 1: LOT PRICE/SF vs HARD COST — NET PROFIT</t>
  </si>
  <si>
    <t xml:space="preserve">Price/SF →</t>
  </si>
  <si>
    <t xml:space="preserve">80% HC</t>
  </si>
  <si>
    <t xml:space="preserve">85% HC</t>
  </si>
  <si>
    <t xml:space="preserve">90% HC</t>
  </si>
  <si>
    <t xml:space="preserve">95% HC</t>
  </si>
  <si>
    <t xml:space="preserve">100% HC</t>
  </si>
  <si>
    <t xml:space="preserve">105% HC</t>
  </si>
  <si>
    <t xml:space="preserve">110% HC</t>
  </si>
  <si>
    <t xml:space="preserve">115% HC</t>
  </si>
  <si>
    <t xml:space="preserve">120% HC</t>
  </si>
  <si>
    <t xml:space="preserve">Lot Price/SF ↓</t>
  </si>
  <si>
    <t xml:space="preserve">$5.00/SF</t>
  </si>
  <si>
    <t xml:space="preserve">$5.50/SF</t>
  </si>
  <si>
    <t xml:space="preserve">$6.00/SF</t>
  </si>
  <si>
    <t xml:space="preserve">$6.50/SF</t>
  </si>
  <si>
    <t xml:space="preserve">$7.00/SF</t>
  </si>
  <si>
    <t xml:space="preserve">$7.50/SF</t>
  </si>
  <si>
    <t xml:space="preserve">$8.00/SF</t>
  </si>
  <si>
    <t xml:space="preserve">$8.50/SF</t>
  </si>
  <si>
    <t xml:space="preserve">$9.00/SF</t>
  </si>
  <si>
    <t xml:space="preserve">MATRIX 2: LOT PRICE/SF vs LOTS SOLD — TOTAL REVENUE</t>
  </si>
  <si>
    <t xml:space="preserve">24 Lots</t>
  </si>
  <si>
    <t xml:space="preserve">26 Lots</t>
  </si>
  <si>
    <t xml:space="preserve">27 Lots</t>
  </si>
  <si>
    <t xml:space="preserve">28 Lots</t>
  </si>
  <si>
    <t xml:space="preserve">29 Lots</t>
  </si>
  <si>
    <t xml:space="preserve">30 Lots</t>
  </si>
  <si>
    <t xml:space="preserve">Green cells indicate base case / target scenario</t>
  </si>
  <si>
    <t xml:space="preserve">INTERNATIONAL TRADE PARK HOUSTON — USER INSTRUCTIONS</t>
  </si>
  <si>
    <t xml:space="preserve">Copilot Activation Guide | Tab Directory | Prompt Library</t>
  </si>
  <si>
    <t xml:space="preserve">HOW TO USE THIS MODEL</t>
  </si>
  <si>
    <t xml:space="preserve">Yellow/Blue cells</t>
  </si>
  <si>
    <t xml:space="preserve">Input assumptions — change freely without breaking formulas</t>
  </si>
  <si>
    <t xml:space="preserve">Black cells</t>
  </si>
  <si>
    <t xml:space="preserve">Calculated values — do not edit</t>
  </si>
  <si>
    <t xml:space="preserve">Green cells</t>
  </si>
  <si>
    <t xml:space="preserve">Cross-tab links — auto-update when source changes</t>
  </si>
  <si>
    <t xml:space="preserve">Cream rows</t>
  </si>
  <si>
    <t xml:space="preserve">Section totals — aggregated from above rows</t>
  </si>
  <si>
    <t xml:space="preserve">Start here</t>
  </si>
  <si>
    <t xml:space="preserve">Go to Assumptions tab and verify all blue inputs match your deal</t>
  </si>
  <si>
    <t xml:space="preserve">Recalculate</t>
  </si>
  <si>
    <t xml:space="preserve">Press Ctrl+Alt+F9 to force full recalculation after bulk changes</t>
  </si>
  <si>
    <t xml:space="preserve">KPI dashboard, project snapshot, color legend. Read-only overview.</t>
  </si>
  <si>
    <t xml:space="preserve">ALL inputs here. Change lot pricing, timeline, costs, MUD bonds, equity terms.</t>
  </si>
  <si>
    <t xml:space="preserve">Uses &amp; Sources summary. Driven by Assumptions. Check Sources = Uses.</t>
  </si>
  <si>
    <t xml:space="preserve">MUD bonds, loan, equity tranche breakdown. Underwriting tests.</t>
  </si>
  <si>
    <t xml:space="preserve">Revenue + cost summary. Lot absorption by type. Key profitability KPIs.</t>
  </si>
  <si>
    <t xml:space="preserve">Step-by-step distribution: return of capital → preferred → 50/50 split.</t>
  </si>
  <si>
    <t xml:space="preserve">Model two exit scenarios: EP buyout mid-project vs full development.</t>
  </si>
  <si>
    <t xml:space="preserve">Equity snapshot at Day 1, 50% sold, and full sellout.</t>
  </si>
  <si>
    <t xml:space="preserve">Two matrices: lot price vs hard cost; lot price vs lots sold.</t>
  </si>
  <si>
    <t xml:space="preserve">Full income statement from revenue through net profit and distributions.</t>
  </si>
  <si>
    <t xml:space="preserve">This tab. Copilot prompts and model guidance.</t>
  </si>
  <si>
    <t xml:space="preserve">COPILOT PROMPT LIBRARY (40+ PROMPTS)</t>
  </si>
  <si>
    <t xml:space="preserve">[Assumptions]</t>
  </si>
  <si>
    <t xml:space="preserve">What happens to total profit if lot prices drop 10% across all types?</t>
  </si>
  <si>
    <t xml:space="preserve">Increase industrial lot price to $8.50/SF and show new gross lot value.</t>
  </si>
  <si>
    <t xml:space="preserve">Change MUD bond proceeds to $25M and recalculate sources vs uses.</t>
  </si>
  <si>
    <t xml:space="preserve">Extend project timeline to 60 months and show impact on finance costs.</t>
  </si>
  <si>
    <t xml:space="preserve">What is the developer fee if hard + soft costs increase by $2M?</t>
  </si>
  <si>
    <t xml:space="preserve">Lower equity partner preferred return to 6% — what changes in the waterfall?</t>
  </si>
  <si>
    <t xml:space="preserve">[Dev Budget]</t>
  </si>
  <si>
    <t xml:space="preserve">Summarize the current uses of funds and which category is largest.</t>
  </si>
  <si>
    <t xml:space="preserve">If storm sewer costs rise 15%, how does that affect total hard costs?</t>
  </si>
  <si>
    <t xml:space="preserve">What is the cost per lot and cost per net SF at current assumptions?</t>
  </si>
  <si>
    <t xml:space="preserve">Is the model currently in balance (sources = uses)?</t>
  </si>
  <si>
    <t xml:space="preserve">Add a $500K contingency to soft costs and update the budget.</t>
  </si>
  <si>
    <t xml:space="preserve">[Capital Stack]</t>
  </si>
  <si>
    <t xml:space="preserve">What is the loan-to-value ratio at peak loan balance?</t>
  </si>
  <si>
    <t xml:space="preserve">Show debt coverage: MUD bonds + loan vs total project cost.</t>
  </si>
  <si>
    <t xml:space="preserve">If interest rate rises to 13%, what is the new total finance cost?</t>
  </si>
  <si>
    <t xml:space="preserve">What is the all-in cost of capital for this deal?</t>
  </si>
  <si>
    <t xml:space="preserve">[Pro Forma]</t>
  </si>
  <si>
    <t xml:space="preserve">What is the break-even lot price/SF to achieve zero profit?</t>
  </si>
  <si>
    <t xml:space="preserve">Show revenue split: lot sales % vs MUD bonds %.</t>
  </si>
  <si>
    <t xml:space="preserve">If only 25 lots sell instead of 30, what is the revised net profit?</t>
  </si>
  <si>
    <t xml:space="preserve">What is the average revenue per lot at current assumptions?</t>
  </si>
  <si>
    <t xml:space="preserve">Calculate gross margin on lot sales before finance costs.</t>
  </si>
  <si>
    <t xml:space="preserve">[JV Waterfall]</t>
  </si>
  <si>
    <t xml:space="preserve">Walk me through Step 1-4 of the distribution waterfall.</t>
  </si>
  <si>
    <t xml:space="preserve">How much preferred return does the EP earn over the project life?</t>
  </si>
  <si>
    <t xml:space="preserve">What is the EP total distribution at current assumptions?</t>
  </si>
  <si>
    <t xml:space="preserve">If profit splits change to 60/40 dev/EP, what is developer net profit?</t>
  </si>
  <si>
    <t xml:space="preserve">At what profit level does the EP reach 2x on invested capital?</t>
  </si>
  <si>
    <t xml:space="preserve">[Cap Events]</t>
  </si>
  <si>
    <t xml:space="preserve">Compare Scenario A buyout vs Scenario B full development — developer profit.</t>
  </si>
  <si>
    <t xml:space="preserve">If buyout happens at month 12 instead of 18, how does EP payout change?</t>
  </si>
  <si>
    <t xml:space="preserve">What is the NPV of Scenario B at a 15% discount rate?</t>
  </si>
  <si>
    <t xml:space="preserve">[Balance Sheet]</t>
  </si>
  <si>
    <t xml:space="preserve">What is total equity at 50% sold?</t>
  </si>
  <si>
    <t xml:space="preserve">Show the leverage ratio (debt/equity) at each milestone.</t>
  </si>
  <si>
    <t xml:space="preserve">At full sellout, what assets remain on the balance sheet?</t>
  </si>
  <si>
    <t xml:space="preserve">[Sensitivity]</t>
  </si>
  <si>
    <t xml:space="preserve">Which combination in Matrix 1 produces the highest profit?</t>
  </si>
  <si>
    <t xml:space="preserve">At $6.50/SF with 1.10x hard costs, is the deal still profitable?</t>
  </si>
  <si>
    <t xml:space="preserve">What lot price guarantees profitability even at 1.20x hard costs?</t>
  </si>
  <si>
    <t xml:space="preserve">Show me all Matrix 2 scenarios where total revenue exceeds $60M.</t>
  </si>
  <si>
    <t xml:space="preserve">[P&amp;L]</t>
  </si>
  <si>
    <t xml:space="preserve">What is EBITDA margin as a percentage of total revenue?</t>
  </si>
  <si>
    <t xml:space="preserve">Compare gross profit vs net profit — what explains the gap?</t>
  </si>
  <si>
    <t xml:space="preserve">What are the top 3 cost items as a % of revenue?</t>
  </si>
  <si>
    <t xml:space="preserve">If all finance costs are eliminated, what is max net profit?</t>
  </si>
  <si>
    <t xml:space="preserve">Show how developer fee is calculated and where it flows.</t>
  </si>
  <si>
    <t xml:space="preserve">[General]</t>
  </si>
  <si>
    <t xml:space="preserve">Create an executive summary of this deal in 5 bullet points.</t>
  </si>
  <si>
    <t xml:space="preserve">What are the top 3 risks to project profitability?</t>
  </si>
  <si>
    <t xml:space="preserve">Compare this deal's returns to typical Texas industrial land development benchmarks.</t>
  </si>
  <si>
    <t xml:space="preserve">PLUSAdvantage™ 2026  —  CONFIDENTIAL  |  ITP Houston Capital Model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</si>
</sst>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#,##0"/>
    <numFmt numFmtId="167" formatCode="0.00"/>
    <numFmt numFmtId="168" formatCode="\$#,##0.00"/>
    <numFmt numFmtId="169" formatCode="\$#,##0_);&quot;($&quot;#,##0\);\-"/>
    <numFmt numFmtId="170" formatCode="0.0%"/>
    <numFmt numFmtId="171" formatCode="0.00\x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C9A84C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B2A4A"/>
      <name val="Arial"/>
      <family val="0"/>
      <charset val="1"/>
    </font>
    <font>
      <b val="true"/>
      <sz val="13"/>
      <color rgb="FFC9A84C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C9A84C"/>
      <name val="Arial"/>
      <family val="0"/>
      <charset val="1"/>
    </font>
    <font>
      <b val="true"/>
      <sz val="14"/>
      <color rgb="FFC9A84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9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1B2A4A"/>
      <name val="Arial"/>
      <family val="0"/>
      <charset val="1"/>
    </font>
    <font>
      <b val="true"/>
      <sz val="8"/>
      <color rgb="FF1B2A4A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8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9"/>
      <color rgb="FFFF0000"/>
      <name val="Arial"/>
      <family val="0"/>
      <charset val="1"/>
    </font>
    <font>
      <b val="true"/>
      <sz val="8"/>
      <color rgb="FFFF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B2A4A"/>
      <name val="Arial"/>
      <family val="0"/>
      <charset val="1"/>
    </font>
    <font>
      <sz val="9"/>
      <color rgb="FF00000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C9A84C"/>
        <bgColor rgb="FFFF9900"/>
      </patternFill>
    </fill>
    <fill>
      <patternFill patternType="solid">
        <fgColor rgb="FFF5F0E8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CE6F1"/>
      </patternFill>
    </fill>
    <fill>
      <patternFill patternType="solid">
        <fgColor rgb="FFFFFFFF"/>
        <bgColor rgb="FFF5F0E8"/>
      </patternFill>
    </fill>
    <fill>
      <patternFill patternType="solid">
        <fgColor rgb="FFE2EFDA"/>
        <bgColor rgb="FFDCE6F1"/>
      </patternFill>
    </fill>
    <fill>
      <patternFill patternType="solid">
        <fgColor rgb="FFDCE6F1"/>
        <bgColor rgb="FFE2EFDA"/>
      </patternFill>
    </fill>
    <fill>
      <patternFill patternType="solid">
        <fgColor rgb="FFFCE4D6"/>
        <bgColor rgb="FFF5F0E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4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9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8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3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3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33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9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0E8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C9A84C"/>
      <rgbColor rgb="FF003366"/>
      <rgbColor rgb="FF339966"/>
      <rgbColor rgb="FF003300"/>
      <rgbColor rgb="FF333300"/>
      <rgbColor rgb="FF993300"/>
      <rgbColor rgb="FF993366"/>
      <rgbColor rgb="FF33339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1" width="18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8" hidden="false" customHeight="true" outlineLevel="0" collapsed="false">
      <c r="A4" s="4" t="s">
        <v>2</v>
      </c>
      <c r="B4" s="5"/>
      <c r="C4" s="5"/>
      <c r="D4" s="5"/>
      <c r="E4" s="5"/>
      <c r="F4" s="5"/>
      <c r="G4" s="5"/>
      <c r="H4" s="5"/>
    </row>
    <row r="6" customFormat="false" ht="18" hidden="false" customHeight="true" outlineLevel="0" collapsed="false">
      <c r="A6" s="6" t="s">
        <v>3</v>
      </c>
      <c r="B6" s="6"/>
      <c r="C6" s="6" t="s">
        <v>4</v>
      </c>
      <c r="D6" s="6"/>
      <c r="E6" s="6" t="s">
        <v>5</v>
      </c>
      <c r="F6" s="6"/>
      <c r="G6" s="6" t="s">
        <v>6</v>
      </c>
      <c r="H6" s="6"/>
    </row>
    <row r="7" customFormat="false" ht="21.75" hidden="false" customHeight="true" outlineLevel="0" collapsed="false">
      <c r="A7" s="7" t="s">
        <v>7</v>
      </c>
      <c r="B7" s="7"/>
      <c r="C7" s="7" t="s">
        <v>8</v>
      </c>
      <c r="D7" s="7"/>
      <c r="E7" s="7" t="s">
        <v>9</v>
      </c>
      <c r="F7" s="7"/>
      <c r="G7" s="7" t="s">
        <v>10</v>
      </c>
      <c r="H7" s="7"/>
    </row>
    <row r="9" customFormat="false" ht="18" hidden="false" customHeight="true" outlineLevel="0" collapsed="false">
      <c r="A9" s="6" t="s">
        <v>11</v>
      </c>
      <c r="B9" s="6"/>
      <c r="C9" s="6" t="s">
        <v>12</v>
      </c>
      <c r="D9" s="6"/>
      <c r="E9" s="6" t="s">
        <v>13</v>
      </c>
      <c r="F9" s="6"/>
      <c r="G9" s="6" t="s">
        <v>14</v>
      </c>
      <c r="H9" s="6"/>
    </row>
    <row r="10" customFormat="false" ht="21.75" hidden="false" customHeight="true" outlineLevel="0" collapsed="false">
      <c r="A10" s="7" t="s">
        <v>15</v>
      </c>
      <c r="B10" s="7"/>
      <c r="C10" s="7" t="s">
        <v>16</v>
      </c>
      <c r="D10" s="7"/>
      <c r="E10" s="7" t="s">
        <v>17</v>
      </c>
      <c r="F10" s="7"/>
      <c r="G10" s="7" t="s">
        <v>18</v>
      </c>
      <c r="H10" s="7"/>
    </row>
    <row r="12" customFormat="false" ht="18" hidden="false" customHeight="true" outlineLevel="0" collapsed="false">
      <c r="A12" s="6" t="s">
        <v>19</v>
      </c>
      <c r="B12" s="6"/>
      <c r="C12" s="6" t="s">
        <v>20</v>
      </c>
      <c r="D12" s="6"/>
      <c r="E12" s="6" t="s">
        <v>21</v>
      </c>
      <c r="F12" s="6"/>
      <c r="G12" s="6" t="s">
        <v>22</v>
      </c>
      <c r="H12" s="6"/>
    </row>
    <row r="13" customFormat="false" ht="21.75" hidden="false" customHeight="true" outlineLevel="0" collapsed="false">
      <c r="A13" s="7" t="s">
        <v>23</v>
      </c>
      <c r="B13" s="7"/>
      <c r="C13" s="7" t="s">
        <v>24</v>
      </c>
      <c r="D13" s="7"/>
      <c r="E13" s="7" t="s">
        <v>25</v>
      </c>
      <c r="F13" s="7"/>
      <c r="G13" s="7" t="s">
        <v>26</v>
      </c>
      <c r="H13" s="7"/>
    </row>
    <row r="18" customFormat="false" ht="18" hidden="false" customHeight="true" outlineLevel="0" collapsed="false">
      <c r="A18" s="4" t="s">
        <v>27</v>
      </c>
      <c r="B18" s="5"/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8" t="s">
        <v>28</v>
      </c>
      <c r="B19" s="9" t="s">
        <v>29</v>
      </c>
      <c r="C19" s="9"/>
      <c r="D19" s="9"/>
      <c r="E19" s="9"/>
      <c r="F19" s="9"/>
      <c r="G19" s="9"/>
      <c r="H19" s="9"/>
    </row>
    <row r="20" customFormat="false" ht="15" hidden="false" customHeight="true" outlineLevel="0" collapsed="false">
      <c r="A20" s="8" t="s">
        <v>30</v>
      </c>
      <c r="B20" s="9" t="s">
        <v>31</v>
      </c>
      <c r="C20" s="9"/>
      <c r="D20" s="9"/>
      <c r="E20" s="9"/>
      <c r="F20" s="9"/>
      <c r="G20" s="9"/>
      <c r="H20" s="9"/>
    </row>
    <row r="21" customFormat="false" ht="15" hidden="false" customHeight="true" outlineLevel="0" collapsed="false">
      <c r="A21" s="8" t="s">
        <v>32</v>
      </c>
      <c r="B21" s="9" t="s">
        <v>33</v>
      </c>
      <c r="C21" s="9"/>
      <c r="D21" s="9"/>
      <c r="E21" s="9"/>
      <c r="F21" s="9"/>
      <c r="G21" s="9"/>
      <c r="H21" s="9"/>
    </row>
    <row r="22" customFormat="false" ht="15" hidden="false" customHeight="true" outlineLevel="0" collapsed="false">
      <c r="A22" s="8" t="s">
        <v>34</v>
      </c>
      <c r="B22" s="9" t="s">
        <v>35</v>
      </c>
      <c r="C22" s="9"/>
      <c r="D22" s="9"/>
      <c r="E22" s="9"/>
      <c r="F22" s="9"/>
      <c r="G22" s="9"/>
      <c r="H22" s="9"/>
    </row>
    <row r="23" customFormat="false" ht="15" hidden="false" customHeight="true" outlineLevel="0" collapsed="false">
      <c r="A23" s="8" t="s">
        <v>36</v>
      </c>
      <c r="B23" s="9" t="s">
        <v>37</v>
      </c>
      <c r="C23" s="9"/>
      <c r="D23" s="9"/>
      <c r="E23" s="9"/>
      <c r="F23" s="9"/>
      <c r="G23" s="9"/>
      <c r="H23" s="9"/>
    </row>
    <row r="24" customFormat="false" ht="15" hidden="false" customHeight="true" outlineLevel="0" collapsed="false">
      <c r="A24" s="8" t="s">
        <v>38</v>
      </c>
      <c r="B24" s="9" t="s">
        <v>39</v>
      </c>
      <c r="C24" s="9"/>
      <c r="D24" s="9"/>
      <c r="E24" s="9"/>
      <c r="F24" s="9"/>
      <c r="G24" s="9"/>
      <c r="H24" s="9"/>
    </row>
    <row r="25" customFormat="false" ht="15" hidden="false" customHeight="true" outlineLevel="0" collapsed="false">
      <c r="A25" s="8" t="s">
        <v>40</v>
      </c>
      <c r="B25" s="9" t="s">
        <v>41</v>
      </c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8" t="s">
        <v>42</v>
      </c>
      <c r="B26" s="9" t="s">
        <v>43</v>
      </c>
      <c r="C26" s="9"/>
      <c r="D26" s="9"/>
      <c r="E26" s="9"/>
      <c r="F26" s="9"/>
      <c r="G26" s="9"/>
      <c r="H26" s="9"/>
    </row>
    <row r="27" customFormat="false" ht="15" hidden="false" customHeight="true" outlineLevel="0" collapsed="false">
      <c r="A27" s="8" t="s">
        <v>44</v>
      </c>
      <c r="B27" s="9" t="s">
        <v>45</v>
      </c>
      <c r="C27" s="9"/>
      <c r="D27" s="9"/>
      <c r="E27" s="9"/>
      <c r="F27" s="9"/>
      <c r="G27" s="9"/>
      <c r="H27" s="9"/>
    </row>
    <row r="28" customFormat="false" ht="15" hidden="false" customHeight="true" outlineLevel="0" collapsed="false">
      <c r="A28" s="8" t="s">
        <v>46</v>
      </c>
      <c r="B28" s="9" t="s">
        <v>47</v>
      </c>
      <c r="C28" s="9"/>
      <c r="D28" s="9"/>
      <c r="E28" s="9"/>
      <c r="F28" s="9"/>
      <c r="G28" s="9"/>
      <c r="H28" s="9"/>
    </row>
    <row r="29" customFormat="false" ht="15" hidden="false" customHeight="true" outlineLevel="0" collapsed="false">
      <c r="A29" s="8" t="s">
        <v>48</v>
      </c>
      <c r="B29" s="9" t="s">
        <v>49</v>
      </c>
      <c r="C29" s="9"/>
      <c r="D29" s="9"/>
      <c r="E29" s="9"/>
      <c r="F29" s="9"/>
      <c r="G29" s="9"/>
      <c r="H29" s="9"/>
    </row>
    <row r="30" customFormat="false" ht="15" hidden="false" customHeight="false" outlineLevel="0" collapsed="false">
      <c r="A30" s="10" t="s">
        <v>50</v>
      </c>
      <c r="B30" s="11" t="s">
        <v>51</v>
      </c>
      <c r="C30" s="11"/>
      <c r="D30" s="11"/>
      <c r="E30" s="11"/>
      <c r="F30" s="11"/>
      <c r="G30" s="11"/>
      <c r="H30" s="11"/>
    </row>
    <row r="31" customFormat="false" ht="18" hidden="false" customHeight="true" outlineLevel="0" collapsed="false">
      <c r="A31" s="12" t="s">
        <v>52</v>
      </c>
      <c r="B31" s="13" t="s">
        <v>53</v>
      </c>
      <c r="C31" s="13"/>
      <c r="D31" s="13"/>
      <c r="E31" s="13"/>
      <c r="F31" s="13"/>
      <c r="G31" s="13"/>
      <c r="H31" s="13"/>
    </row>
    <row r="32" customFormat="false" ht="15" hidden="false" customHeight="true" outlineLevel="0" collapsed="false">
      <c r="A32" s="8" t="s">
        <v>54</v>
      </c>
      <c r="B32" s="9" t="s">
        <v>55</v>
      </c>
      <c r="C32" s="9"/>
      <c r="D32" s="9"/>
      <c r="E32" s="9"/>
      <c r="F32" s="9"/>
      <c r="G32" s="9"/>
      <c r="H32" s="9"/>
    </row>
    <row r="33" customFormat="false" ht="15" hidden="false" customHeight="true" outlineLevel="0" collapsed="false">
      <c r="A33" s="8" t="s">
        <v>56</v>
      </c>
      <c r="B33" s="9" t="s">
        <v>57</v>
      </c>
      <c r="C33" s="9"/>
      <c r="D33" s="9"/>
      <c r="E33" s="9"/>
      <c r="F33" s="9"/>
      <c r="G33" s="9"/>
      <c r="H33" s="9"/>
    </row>
    <row r="34" customFormat="false" ht="15" hidden="false" customHeight="true" outlineLevel="0" collapsed="false">
      <c r="A34" s="8" t="s">
        <v>58</v>
      </c>
      <c r="B34" s="9" t="s">
        <v>59</v>
      </c>
      <c r="C34" s="9"/>
      <c r="D34" s="9"/>
      <c r="E34" s="9"/>
      <c r="F34" s="9"/>
      <c r="G34" s="9"/>
      <c r="H34" s="9"/>
    </row>
    <row r="35" customFormat="false" ht="15" hidden="false" customHeight="true" outlineLevel="0" collapsed="false">
      <c r="A35" s="14" t="s">
        <v>60</v>
      </c>
      <c r="B35" s="9" t="s">
        <v>61</v>
      </c>
      <c r="C35" s="9"/>
      <c r="D35" s="9"/>
      <c r="E35" s="9"/>
      <c r="F35" s="9"/>
      <c r="G35" s="9"/>
      <c r="H35" s="9"/>
    </row>
    <row r="36" customFormat="false" ht="15" hidden="false" customHeight="true" outlineLevel="0" collapsed="false">
      <c r="A36" s="15" t="s">
        <v>62</v>
      </c>
      <c r="B36" s="9" t="s">
        <v>63</v>
      </c>
      <c r="C36" s="9"/>
      <c r="D36" s="9"/>
      <c r="E36" s="9"/>
      <c r="F36" s="9"/>
      <c r="G36" s="9"/>
      <c r="H36" s="9"/>
    </row>
    <row r="37" customFormat="false" ht="15" hidden="false" customHeight="true" outlineLevel="0" collapsed="false">
      <c r="A37" s="16" t="s">
        <v>64</v>
      </c>
      <c r="B37" s="9" t="s">
        <v>65</v>
      </c>
      <c r="C37" s="9"/>
      <c r="D37" s="9"/>
      <c r="E37" s="9"/>
      <c r="F37" s="9"/>
      <c r="G37" s="9"/>
      <c r="H37" s="9"/>
    </row>
  </sheetData>
  <mergeCells count="45">
    <mergeCell ref="A1:H1"/>
    <mergeCell ref="A2:H2"/>
    <mergeCell ref="A6:B6"/>
    <mergeCell ref="C6:D6"/>
    <mergeCell ref="E6:F6"/>
    <mergeCell ref="G6:H6"/>
    <mergeCell ref="A7:B7"/>
    <mergeCell ref="C7:D7"/>
    <mergeCell ref="E7:F7"/>
    <mergeCell ref="G7:H7"/>
    <mergeCell ref="A9:B9"/>
    <mergeCell ref="C9:D9"/>
    <mergeCell ref="E9:F9"/>
    <mergeCell ref="G9:H9"/>
    <mergeCell ref="A10:B10"/>
    <mergeCell ref="C10:D10"/>
    <mergeCell ref="E10:F10"/>
    <mergeCell ref="G10:H10"/>
    <mergeCell ref="A12:B12"/>
    <mergeCell ref="C12:D12"/>
    <mergeCell ref="E12:F12"/>
    <mergeCell ref="G12:H12"/>
    <mergeCell ref="A13:B13"/>
    <mergeCell ref="C13:D13"/>
    <mergeCell ref="E13:F13"/>
    <mergeCell ref="G13:H13"/>
    <mergeCell ref="B19:H19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30"/>
    <col collapsed="false" customWidth="true" hidden="false" outlineLevel="0" max="5" min="5" style="1" width="18"/>
    <col collapsed="false" customWidth="true" hidden="false" outlineLevel="0" max="6" min="6" style="1" width="14"/>
  </cols>
  <sheetData>
    <row r="1" customFormat="false" ht="27.75" hidden="false" customHeight="true" outlineLevel="0" collapsed="false">
      <c r="A1" s="17" t="s">
        <v>66</v>
      </c>
      <c r="B1" s="17"/>
      <c r="C1" s="17"/>
      <c r="D1" s="17"/>
      <c r="E1" s="17"/>
      <c r="F1" s="17"/>
    </row>
    <row r="2" customFormat="false" ht="27.75" hidden="false" customHeight="true" outlineLevel="0" collapsed="false">
      <c r="A2" s="18" t="s">
        <v>67</v>
      </c>
      <c r="B2" s="18"/>
      <c r="C2" s="18"/>
      <c r="D2" s="18"/>
      <c r="E2" s="18"/>
      <c r="F2" s="18"/>
    </row>
    <row r="4" customFormat="false" ht="18" hidden="false" customHeight="true" outlineLevel="0" collapsed="false">
      <c r="A4" s="4" t="s">
        <v>68</v>
      </c>
      <c r="B4" s="5"/>
      <c r="C4" s="5"/>
    </row>
    <row r="5" customFormat="false" ht="15" hidden="false" customHeight="true" outlineLevel="0" collapsed="false">
      <c r="A5" s="19" t="s">
        <v>69</v>
      </c>
      <c r="B5" s="20" t="s">
        <v>70</v>
      </c>
    </row>
    <row r="6" customFormat="false" ht="15" hidden="false" customHeight="true" outlineLevel="0" collapsed="false">
      <c r="A6" s="19" t="s">
        <v>71</v>
      </c>
      <c r="B6" s="20" t="s">
        <v>72</v>
      </c>
    </row>
    <row r="7" customFormat="false" ht="15" hidden="false" customHeight="true" outlineLevel="0" collapsed="false">
      <c r="A7" s="19" t="s">
        <v>73</v>
      </c>
      <c r="B7" s="21" t="n">
        <v>136</v>
      </c>
    </row>
    <row r="8" customFormat="false" ht="15" hidden="false" customHeight="true" outlineLevel="0" collapsed="false">
      <c r="A8" s="19" t="s">
        <v>74</v>
      </c>
      <c r="B8" s="22" t="n">
        <v>99.58</v>
      </c>
    </row>
    <row r="9" customFormat="false" ht="15" hidden="false" customHeight="true" outlineLevel="0" collapsed="false">
      <c r="A9" s="19" t="s">
        <v>4</v>
      </c>
      <c r="B9" s="21" t="n">
        <v>4337705</v>
      </c>
    </row>
    <row r="10" customFormat="false" ht="15" hidden="false" customHeight="true" outlineLevel="0" collapsed="false">
      <c r="A10" s="19" t="s">
        <v>5</v>
      </c>
      <c r="B10" s="21" t="n">
        <v>30</v>
      </c>
    </row>
    <row r="12" customFormat="false" ht="18" hidden="false" customHeight="true" outlineLevel="0" collapsed="false">
      <c r="A12" s="4" t="s">
        <v>75</v>
      </c>
      <c r="B12" s="5"/>
      <c r="C12" s="5"/>
      <c r="D12" s="5"/>
      <c r="E12" s="5"/>
      <c r="F12" s="5"/>
    </row>
    <row r="13" customFormat="false" ht="15" hidden="false" customHeight="true" outlineLevel="0" collapsed="false">
      <c r="A13" s="23" t="s">
        <v>76</v>
      </c>
      <c r="B13" s="23" t="s">
        <v>77</v>
      </c>
      <c r="C13" s="23" t="s">
        <v>78</v>
      </c>
      <c r="D13" s="23" t="s">
        <v>79</v>
      </c>
      <c r="E13" s="23" t="s">
        <v>80</v>
      </c>
      <c r="F13" s="23" t="s">
        <v>81</v>
      </c>
    </row>
    <row r="14" customFormat="false" ht="15" hidden="false" customHeight="true" outlineLevel="0" collapsed="false">
      <c r="A14" s="19" t="s">
        <v>82</v>
      </c>
      <c r="B14" s="21" t="n">
        <v>8</v>
      </c>
      <c r="C14" s="22" t="n">
        <v>27.6</v>
      </c>
      <c r="D14" s="24" t="n">
        <v>7.653</v>
      </c>
      <c r="E14" s="25" t="n">
        <v>9190000</v>
      </c>
      <c r="F14" s="26" t="n">
        <f aca="false">E14/$E$17</f>
        <v>0.233305357846119</v>
      </c>
    </row>
    <row r="15" customFormat="false" ht="15" hidden="false" customHeight="true" outlineLevel="0" collapsed="false">
      <c r="A15" s="19" t="s">
        <v>83</v>
      </c>
      <c r="B15" s="21" t="n">
        <v>18</v>
      </c>
      <c r="C15" s="22" t="n">
        <v>23.5</v>
      </c>
      <c r="D15" s="24" t="n">
        <v>14.556</v>
      </c>
      <c r="E15" s="25" t="n">
        <v>14900000</v>
      </c>
      <c r="F15" s="26" t="n">
        <f aca="false">E15/$E$17</f>
        <v>0.378264399554643</v>
      </c>
    </row>
    <row r="16" customFormat="false" ht="15" hidden="false" customHeight="true" outlineLevel="0" collapsed="false">
      <c r="A16" s="19" t="s">
        <v>84</v>
      </c>
      <c r="B16" s="21" t="n">
        <v>4</v>
      </c>
      <c r="C16" s="22" t="n">
        <v>48.5</v>
      </c>
      <c r="D16" s="24" t="n">
        <v>7.242</v>
      </c>
      <c r="E16" s="25" t="n">
        <v>15300437</v>
      </c>
      <c r="F16" s="26" t="n">
        <f aca="false">E16/$E$17</f>
        <v>0.388430242599238</v>
      </c>
    </row>
    <row r="17" customFormat="false" ht="15" hidden="false" customHeight="true" outlineLevel="0" collapsed="false">
      <c r="A17" s="27" t="s">
        <v>85</v>
      </c>
      <c r="B17" s="28" t="n">
        <f aca="false">SUM(B14:B16)</f>
        <v>30</v>
      </c>
      <c r="C17" s="29" t="n">
        <f aca="false">SUM(C14:C16)</f>
        <v>99.6</v>
      </c>
      <c r="E17" s="27" t="n">
        <f aca="false">SUM(E14:E16)</f>
        <v>39390437</v>
      </c>
      <c r="F17" s="30" t="n">
        <f aca="false">1</f>
        <v>1</v>
      </c>
    </row>
    <row r="19" customFormat="false" ht="18" hidden="false" customHeight="true" outlineLevel="0" collapsed="false">
      <c r="A19" s="4" t="s">
        <v>86</v>
      </c>
      <c r="B19" s="5"/>
      <c r="C19" s="5"/>
    </row>
    <row r="20" customFormat="false" ht="15" hidden="false" customHeight="true" outlineLevel="0" collapsed="false">
      <c r="A20" s="19" t="s">
        <v>87</v>
      </c>
      <c r="B20" s="20" t="s">
        <v>88</v>
      </c>
    </row>
    <row r="21" customFormat="false" ht="15" hidden="false" customHeight="true" outlineLevel="0" collapsed="false">
      <c r="A21" s="19" t="s">
        <v>89</v>
      </c>
      <c r="B21" s="20" t="s">
        <v>90</v>
      </c>
    </row>
    <row r="22" customFormat="false" ht="15" hidden="false" customHeight="true" outlineLevel="0" collapsed="false">
      <c r="A22" s="19" t="s">
        <v>91</v>
      </c>
      <c r="B22" s="21" t="n">
        <v>50</v>
      </c>
    </row>
    <row r="23" customFormat="false" ht="15" hidden="false" customHeight="true" outlineLevel="0" collapsed="false">
      <c r="A23" s="19" t="s">
        <v>92</v>
      </c>
      <c r="B23" s="21" t="n">
        <v>5</v>
      </c>
    </row>
    <row r="24" customFormat="false" ht="15" hidden="false" customHeight="true" outlineLevel="0" collapsed="false">
      <c r="A24" s="19" t="s">
        <v>93</v>
      </c>
      <c r="B24" s="21" t="n">
        <v>22</v>
      </c>
    </row>
    <row r="25" customFormat="false" ht="15" hidden="false" customHeight="true" outlineLevel="0" collapsed="false">
      <c r="A25" s="19" t="s">
        <v>94</v>
      </c>
      <c r="B25" s="21" t="n">
        <v>15</v>
      </c>
    </row>
    <row r="26" customFormat="false" ht="15" hidden="false" customHeight="true" outlineLevel="0" collapsed="false">
      <c r="A26" s="19" t="s">
        <v>95</v>
      </c>
      <c r="B26" s="21" t="n">
        <v>21</v>
      </c>
    </row>
    <row r="28" customFormat="false" ht="18" hidden="false" customHeight="true" outlineLevel="0" collapsed="false">
      <c r="A28" s="4" t="s">
        <v>96</v>
      </c>
      <c r="B28" s="5"/>
      <c r="C28" s="5"/>
    </row>
    <row r="29" customFormat="false" ht="15" hidden="false" customHeight="true" outlineLevel="0" collapsed="false">
      <c r="A29" s="19" t="s">
        <v>97</v>
      </c>
      <c r="B29" s="25" t="n">
        <v>1993000</v>
      </c>
      <c r="C29" s="26" t="n">
        <f aca="false">B29/B35</f>
        <v>0.0844896073119757</v>
      </c>
    </row>
    <row r="30" customFormat="false" ht="15" hidden="false" customHeight="true" outlineLevel="0" collapsed="false">
      <c r="A30" s="19" t="s">
        <v>98</v>
      </c>
      <c r="B30" s="25" t="n">
        <v>3432000</v>
      </c>
      <c r="C30" s="26" t="n">
        <f aca="false">B30/B35</f>
        <v>0.14549339302293</v>
      </c>
    </row>
    <row r="31" customFormat="false" ht="15" hidden="false" customHeight="true" outlineLevel="0" collapsed="false">
      <c r="A31" s="19" t="s">
        <v>99</v>
      </c>
      <c r="B31" s="25" t="n">
        <v>12527000</v>
      </c>
      <c r="C31" s="26" t="n">
        <f aca="false">B31/B35</f>
        <v>0.531059363169653</v>
      </c>
    </row>
    <row r="32" customFormat="false" ht="15" hidden="false" customHeight="true" outlineLevel="0" collapsed="false">
      <c r="A32" s="19" t="s">
        <v>100</v>
      </c>
      <c r="B32" s="25" t="n">
        <v>5098000</v>
      </c>
      <c r="C32" s="26" t="n">
        <f aca="false">B32/B35</f>
        <v>0.216120430545134</v>
      </c>
    </row>
    <row r="33" customFormat="false" ht="15" hidden="false" customHeight="true" outlineLevel="0" collapsed="false">
      <c r="A33" s="19" t="s">
        <v>101</v>
      </c>
      <c r="B33" s="25" t="n">
        <v>262000</v>
      </c>
      <c r="C33" s="26" t="n">
        <f aca="false">B33/B35</f>
        <v>0.0111070131037319</v>
      </c>
    </row>
    <row r="34" customFormat="false" ht="15" hidden="false" customHeight="true" outlineLevel="0" collapsed="false">
      <c r="A34" s="19" t="s">
        <v>102</v>
      </c>
      <c r="B34" s="25" t="n">
        <v>276700</v>
      </c>
      <c r="C34" s="26" t="n">
        <f aca="false">B34/B35</f>
        <v>0.0117301928465748</v>
      </c>
    </row>
    <row r="35" customFormat="false" ht="15" hidden="false" customHeight="true" outlineLevel="0" collapsed="false">
      <c r="A35" s="27" t="s">
        <v>103</v>
      </c>
      <c r="B35" s="27" t="n">
        <f aca="false">SUM(B29:B34)</f>
        <v>23588700</v>
      </c>
    </row>
    <row r="37" customFormat="false" ht="18" hidden="false" customHeight="true" outlineLevel="0" collapsed="false">
      <c r="A37" s="4" t="s">
        <v>104</v>
      </c>
      <c r="B37" s="5"/>
      <c r="C37" s="5"/>
    </row>
    <row r="38" customFormat="false" ht="15" hidden="false" customHeight="true" outlineLevel="0" collapsed="false">
      <c r="A38" s="19" t="s">
        <v>105</v>
      </c>
      <c r="B38" s="25" t="n">
        <v>1320000</v>
      </c>
    </row>
    <row r="39" customFormat="false" ht="15" hidden="false" customHeight="true" outlineLevel="0" collapsed="false">
      <c r="A39" s="19" t="s">
        <v>106</v>
      </c>
      <c r="B39" s="25" t="n">
        <v>83000</v>
      </c>
    </row>
    <row r="40" customFormat="false" ht="15" hidden="false" customHeight="true" outlineLevel="0" collapsed="false">
      <c r="A40" s="27" t="s">
        <v>107</v>
      </c>
      <c r="B40" s="27" t="n">
        <f aca="false">SUM(B38:B39)</f>
        <v>1403000</v>
      </c>
    </row>
    <row r="42" customFormat="false" ht="18" hidden="false" customHeight="true" outlineLevel="0" collapsed="false">
      <c r="A42" s="4" t="s">
        <v>108</v>
      </c>
      <c r="B42" s="5"/>
      <c r="C42" s="5"/>
    </row>
    <row r="43" customFormat="false" ht="15" hidden="false" customHeight="true" outlineLevel="0" collapsed="false">
      <c r="A43" s="19" t="s">
        <v>109</v>
      </c>
      <c r="B43" s="25" t="n">
        <v>23400000</v>
      </c>
    </row>
    <row r="44" customFormat="false" ht="15" hidden="false" customHeight="true" outlineLevel="0" collapsed="false">
      <c r="A44" s="19" t="s">
        <v>110</v>
      </c>
      <c r="B44" s="25" t="n">
        <v>240000</v>
      </c>
    </row>
    <row r="45" customFormat="false" ht="15" hidden="false" customHeight="true" outlineLevel="0" collapsed="false">
      <c r="A45" s="19" t="s">
        <v>111</v>
      </c>
      <c r="B45" s="25" t="n">
        <v>150000</v>
      </c>
    </row>
    <row r="47" customFormat="false" ht="18" hidden="false" customHeight="true" outlineLevel="0" collapsed="false">
      <c r="A47" s="4" t="s">
        <v>112</v>
      </c>
      <c r="B47" s="5"/>
      <c r="C47" s="5"/>
    </row>
    <row r="48" customFormat="false" ht="15" hidden="false" customHeight="true" outlineLevel="0" collapsed="false">
      <c r="A48" s="19" t="s">
        <v>113</v>
      </c>
      <c r="B48" s="31" t="n">
        <v>0.11</v>
      </c>
    </row>
    <row r="49" customFormat="false" ht="15" hidden="false" customHeight="true" outlineLevel="0" collapsed="false">
      <c r="A49" s="19" t="s">
        <v>114</v>
      </c>
      <c r="B49" s="25" t="n">
        <v>6700</v>
      </c>
    </row>
    <row r="50" customFormat="false" ht="15" hidden="false" customHeight="true" outlineLevel="0" collapsed="false">
      <c r="A50" s="19" t="s">
        <v>115</v>
      </c>
      <c r="B50" s="25" t="n">
        <v>6700</v>
      </c>
    </row>
    <row r="51" customFormat="false" ht="15" hidden="false" customHeight="true" outlineLevel="0" collapsed="false">
      <c r="A51" s="19" t="s">
        <v>116</v>
      </c>
      <c r="B51" s="25" t="n">
        <v>1178</v>
      </c>
    </row>
    <row r="52" customFormat="false" ht="15" hidden="false" customHeight="true" outlineLevel="0" collapsed="false">
      <c r="A52" s="19" t="s">
        <v>22</v>
      </c>
      <c r="B52" s="25" t="n">
        <v>671535</v>
      </c>
    </row>
    <row r="53" customFormat="false" ht="15" hidden="false" customHeight="true" outlineLevel="0" collapsed="false">
      <c r="A53" s="19" t="s">
        <v>117</v>
      </c>
      <c r="B53" s="25" t="n">
        <v>25800</v>
      </c>
    </row>
    <row r="55" customFormat="false" ht="18" hidden="false" customHeight="true" outlineLevel="0" collapsed="false">
      <c r="A55" s="4" t="s">
        <v>118</v>
      </c>
      <c r="B55" s="5"/>
      <c r="C55" s="5"/>
    </row>
    <row r="56" customFormat="false" ht="15" hidden="false" customHeight="true" outlineLevel="0" collapsed="false">
      <c r="A56" s="19" t="s">
        <v>119</v>
      </c>
      <c r="B56" s="25" t="n">
        <v>11387289</v>
      </c>
    </row>
    <row r="57" customFormat="false" ht="15" hidden="false" customHeight="true" outlineLevel="0" collapsed="false">
      <c r="A57" s="19" t="s">
        <v>120</v>
      </c>
      <c r="B57" s="31" t="n">
        <v>0.08</v>
      </c>
    </row>
    <row r="58" customFormat="false" ht="15" hidden="false" customHeight="true" outlineLevel="0" collapsed="false">
      <c r="A58" s="19" t="s">
        <v>121</v>
      </c>
      <c r="B58" s="31" t="n">
        <v>0.5</v>
      </c>
    </row>
    <row r="59" customFormat="false" ht="15" hidden="false" customHeight="true" outlineLevel="0" collapsed="false">
      <c r="A59" s="19" t="s">
        <v>122</v>
      </c>
      <c r="B59" s="31" t="n">
        <v>0.5</v>
      </c>
    </row>
    <row r="60" customFormat="false" ht="15" hidden="false" customHeight="true" outlineLevel="0" collapsed="false">
      <c r="A60" s="19" t="s">
        <v>123</v>
      </c>
      <c r="B60" s="31" t="n">
        <v>0.04</v>
      </c>
    </row>
    <row r="61" customFormat="false" ht="15" hidden="false" customHeight="true" outlineLevel="0" collapsed="false">
      <c r="A61" s="19" t="s">
        <v>124</v>
      </c>
      <c r="B61" s="31" t="n">
        <v>0.05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7" min="5" style="1" width="10"/>
    <col collapsed="false" customWidth="true" hidden="false" outlineLevel="0" max="8" min="8" style="1" width="22"/>
  </cols>
  <sheetData>
    <row r="1" customFormat="false" ht="30" hidden="false" customHeight="true" outlineLevel="0" collapsed="false">
      <c r="A1" s="32" t="s">
        <v>125</v>
      </c>
      <c r="B1" s="32"/>
      <c r="C1" s="32"/>
      <c r="D1" s="32"/>
      <c r="E1" s="32"/>
      <c r="F1" s="32"/>
      <c r="G1" s="32"/>
      <c r="H1" s="32"/>
    </row>
    <row r="2" customFormat="false" ht="15.75" hidden="false" customHeight="true" outlineLevel="0" collapsed="false">
      <c r="A2" s="33" t="s">
        <v>126</v>
      </c>
      <c r="B2" s="33"/>
      <c r="C2" s="33"/>
      <c r="D2" s="33"/>
      <c r="E2" s="33"/>
      <c r="F2" s="33"/>
      <c r="G2" s="33"/>
      <c r="H2" s="33"/>
    </row>
    <row r="4" customFormat="false" ht="18" hidden="false" customHeight="true" outlineLevel="0" collapsed="false">
      <c r="A4" s="34" t="s">
        <v>127</v>
      </c>
      <c r="B4" s="34"/>
      <c r="C4" s="34"/>
      <c r="D4" s="34"/>
      <c r="E4" s="34"/>
      <c r="F4" s="34"/>
      <c r="G4" s="34"/>
      <c r="H4" s="34"/>
    </row>
    <row r="5" customFormat="false" ht="15.75" hidden="false" customHeight="true" outlineLevel="0" collapsed="false">
      <c r="A5" s="23" t="s">
        <v>128</v>
      </c>
      <c r="B5" s="23" t="s">
        <v>129</v>
      </c>
      <c r="C5" s="23" t="s">
        <v>130</v>
      </c>
      <c r="D5" s="23" t="s">
        <v>131</v>
      </c>
      <c r="E5" s="23" t="s">
        <v>132</v>
      </c>
      <c r="F5" s="23" t="s">
        <v>133</v>
      </c>
      <c r="G5" s="23" t="s">
        <v>134</v>
      </c>
      <c r="H5" s="23" t="s">
        <v>135</v>
      </c>
    </row>
    <row r="6" customFormat="false" ht="18" hidden="false" customHeight="true" outlineLevel="0" collapsed="false">
      <c r="A6" s="35" t="s">
        <v>136</v>
      </c>
      <c r="B6" s="35"/>
      <c r="C6" s="35"/>
      <c r="D6" s="35"/>
      <c r="E6" s="35"/>
      <c r="F6" s="35"/>
      <c r="G6" s="35"/>
      <c r="H6" s="35"/>
    </row>
    <row r="7" customFormat="false" ht="15.75" hidden="false" customHeight="true" outlineLevel="0" collapsed="false">
      <c r="A7" s="36" t="s">
        <v>137</v>
      </c>
      <c r="B7" s="37" t="n">
        <f aca="false">Assumptions!B56</f>
        <v>11387289</v>
      </c>
      <c r="C7" s="38" t="n">
        <f aca="false">IF(Assumptions!B10&gt;0,B7/Assumptions!B10,0)</f>
        <v>379576.3</v>
      </c>
      <c r="D7" s="39" t="n">
        <f aca="false">IF(Assumptions!B9&gt;0,B7/Assumptions!B9,0)</f>
        <v>2.62518751275156</v>
      </c>
      <c r="E7" s="26" t="n">
        <f aca="false">IF(B49&gt;0,B7/B49,0)</f>
        <v>0.287306993601788</v>
      </c>
      <c r="H7" s="40" t="s">
        <v>138</v>
      </c>
    </row>
    <row r="8" customFormat="false" ht="15.75" hidden="false" customHeight="true" outlineLevel="0" collapsed="false">
      <c r="A8" s="36" t="s">
        <v>139</v>
      </c>
      <c r="B8" s="25" t="n">
        <v>0</v>
      </c>
      <c r="C8" s="38" t="n">
        <f aca="false">IF(Assumptions!B10&gt;0,B8/Assumptions!B10,0)</f>
        <v>0</v>
      </c>
      <c r="D8" s="39" t="n">
        <f aca="false">IF(Assumptions!B9&gt;0,B8/Assumptions!B9,0)</f>
        <v>0</v>
      </c>
      <c r="E8" s="26" t="n">
        <f aca="false">IF(B49&gt;0,B8/B49,0)</f>
        <v>0</v>
      </c>
      <c r="H8" s="40" t="s">
        <v>140</v>
      </c>
    </row>
    <row r="9" customFormat="false" ht="15.75" hidden="false" customHeight="true" outlineLevel="0" collapsed="false">
      <c r="A9" s="36" t="s">
        <v>141</v>
      </c>
      <c r="B9" s="25" t="n">
        <v>0</v>
      </c>
      <c r="C9" s="38" t="n">
        <f aca="false">IF(Assumptions!B10&gt;0,B9/Assumptions!B10,0)</f>
        <v>0</v>
      </c>
      <c r="D9" s="39" t="n">
        <f aca="false">IF(Assumptions!B9&gt;0,B9/Assumptions!B9,0)</f>
        <v>0</v>
      </c>
      <c r="E9" s="26" t="n">
        <f aca="false">IF(B49&gt;0,B9/B49,0)</f>
        <v>0</v>
      </c>
      <c r="H9" s="40" t="s">
        <v>142</v>
      </c>
    </row>
    <row r="10" customFormat="false" ht="15.75" hidden="false" customHeight="true" outlineLevel="0" collapsed="false">
      <c r="A10" s="36" t="s">
        <v>143</v>
      </c>
      <c r="B10" s="25" t="n">
        <v>0</v>
      </c>
      <c r="C10" s="38" t="n">
        <f aca="false">IF(Assumptions!B10&gt;0,B10/Assumptions!B10,0)</f>
        <v>0</v>
      </c>
      <c r="D10" s="39" t="n">
        <f aca="false">IF(Assumptions!B9&gt;0,B10/Assumptions!B9,0)</f>
        <v>0</v>
      </c>
      <c r="E10" s="26" t="n">
        <f aca="false">IF(B49&gt;0,B10/B49,0)</f>
        <v>0</v>
      </c>
      <c r="H10" s="40"/>
    </row>
    <row r="11" customFormat="false" ht="15.75" hidden="false" customHeight="true" outlineLevel="0" collapsed="false">
      <c r="A11" s="27" t="s">
        <v>144</v>
      </c>
      <c r="B11" s="27" t="n">
        <f aca="false">SUM(B7:B10)</f>
        <v>11387289</v>
      </c>
      <c r="C11" s="38" t="n">
        <f aca="false">IF(Assumptions!B10&gt;0,B11/Assumptions!B10,0)</f>
        <v>379576.3</v>
      </c>
      <c r="D11" s="39" t="n">
        <f aca="false">IF(Assumptions!B9&gt;0,B11/Assumptions!B9,0)</f>
        <v>2.62518751275156</v>
      </c>
      <c r="E11" s="26" t="n">
        <f aca="false">IF(B49&gt;0,B11/B49,0)</f>
        <v>0.287306993601788</v>
      </c>
    </row>
    <row r="13" customFormat="false" ht="18" hidden="false" customHeight="true" outlineLevel="0" collapsed="false">
      <c r="A13" s="35" t="s">
        <v>145</v>
      </c>
      <c r="B13" s="35"/>
      <c r="C13" s="35"/>
      <c r="D13" s="35"/>
      <c r="E13" s="35"/>
      <c r="F13" s="35"/>
      <c r="G13" s="35"/>
      <c r="H13" s="35"/>
    </row>
    <row r="14" customFormat="false" ht="15.75" hidden="false" customHeight="true" outlineLevel="0" collapsed="false">
      <c r="A14" s="36" t="s">
        <v>97</v>
      </c>
      <c r="B14" s="37" t="n">
        <f aca="false">Assumptions!B29</f>
        <v>1993000</v>
      </c>
      <c r="C14" s="38" t="n">
        <f aca="false">IF(Assumptions!B10&gt;0,B14/Assumptions!B10,0)</f>
        <v>66433.3333333333</v>
      </c>
      <c r="D14" s="39" t="n">
        <f aca="false">IF(Assumptions!B9&gt;0,B14/Assumptions!B9,0)</f>
        <v>0.459459552920265</v>
      </c>
      <c r="E14" s="26" t="n">
        <f aca="false">IF(B49&gt;0,B14/B49,0)</f>
        <v>0.0502843862352457</v>
      </c>
      <c r="F14" s="26" t="n">
        <f aca="false">IF(Assumptions!B35&gt;0,B14/Assumptions!B35,0)</f>
        <v>0.0844896073119757</v>
      </c>
      <c r="H14" s="40" t="s">
        <v>146</v>
      </c>
    </row>
    <row r="15" customFormat="false" ht="15.75" hidden="false" customHeight="true" outlineLevel="0" collapsed="false">
      <c r="A15" s="36" t="s">
        <v>98</v>
      </c>
      <c r="B15" s="37" t="n">
        <f aca="false">Assumptions!B30</f>
        <v>3432000</v>
      </c>
      <c r="C15" s="38" t="n">
        <f aca="false">IF(Assumptions!B10&gt;0,B15/Assumptions!B10,0)</f>
        <v>114400</v>
      </c>
      <c r="D15" s="39" t="n">
        <f aca="false">IF(Assumptions!B9&gt;0,B15/Assumptions!B9,0)</f>
        <v>0.791201799108054</v>
      </c>
      <c r="E15" s="26" t="n">
        <f aca="false">IF(B49&gt;0,B15/B49,0)</f>
        <v>0.0865910755440859</v>
      </c>
      <c r="F15" s="26" t="n">
        <f aca="false">IF(Assumptions!B35&gt;0,B15/Assumptions!B35,0)</f>
        <v>0.14549339302293</v>
      </c>
      <c r="H15" s="40" t="s">
        <v>147</v>
      </c>
    </row>
    <row r="16" customFormat="false" ht="15.75" hidden="false" customHeight="true" outlineLevel="0" collapsed="false">
      <c r="A16" s="36" t="s">
        <v>148</v>
      </c>
      <c r="B16" s="37" t="n">
        <f aca="false">Assumptions!B31</f>
        <v>12527000</v>
      </c>
      <c r="C16" s="38" t="n">
        <f aca="false">IF(Assumptions!B10&gt;0,B16/Assumptions!B10,0)</f>
        <v>417566.666666667</v>
      </c>
      <c r="D16" s="39" t="n">
        <f aca="false">IF(Assumptions!B9&gt;0,B16/Assumptions!B9,0)</f>
        <v>2.88793267407535</v>
      </c>
      <c r="E16" s="26" t="n">
        <f aca="false">IF(B49&gt;0,B16/B49,0)</f>
        <v>0.316062471835887</v>
      </c>
      <c r="F16" s="26" t="n">
        <f aca="false">IF(Assumptions!B35&gt;0,B16/Assumptions!B35,0)</f>
        <v>0.531059363169653</v>
      </c>
      <c r="H16" s="40" t="s">
        <v>149</v>
      </c>
    </row>
    <row r="17" customFormat="false" ht="15.75" hidden="false" customHeight="true" outlineLevel="0" collapsed="false">
      <c r="A17" s="36" t="s">
        <v>150</v>
      </c>
      <c r="B17" s="37" t="n">
        <f aca="false">Assumptions!B32</f>
        <v>5098000</v>
      </c>
      <c r="C17" s="38" t="n">
        <f aca="false">IF(Assumptions!B10&gt;0,B17/Assumptions!B10,0)</f>
        <v>169933.333333333</v>
      </c>
      <c r="D17" s="39" t="n">
        <f aca="false">IF(Assumptions!B9&gt;0,B17/Assumptions!B9,0)</f>
        <v>1.17527586592449</v>
      </c>
      <c r="E17" s="26" t="n">
        <f aca="false">IF(B49&gt;0,B17/B49,0)</f>
        <v>0.128625088322771</v>
      </c>
      <c r="F17" s="26" t="n">
        <f aca="false">IF(Assumptions!B35&gt;0,B17/Assumptions!B35,0)</f>
        <v>0.216120430545134</v>
      </c>
      <c r="H17" s="40" t="s">
        <v>151</v>
      </c>
    </row>
    <row r="18" customFormat="false" ht="15.75" hidden="false" customHeight="true" outlineLevel="0" collapsed="false">
      <c r="A18" s="36" t="s">
        <v>152</v>
      </c>
      <c r="B18" s="37" t="n">
        <f aca="false">Assumptions!B33</f>
        <v>262000</v>
      </c>
      <c r="C18" s="38" t="n">
        <f aca="false">IF(Assumptions!B10&gt;0,B18/Assumptions!B10,0)</f>
        <v>8733.33333333333</v>
      </c>
      <c r="D18" s="39" t="n">
        <f aca="false">IF(Assumptions!B9&gt;0,B18/Assumptions!B9,0)</f>
        <v>0.0604006035449621</v>
      </c>
      <c r="E18" s="26" t="n">
        <f aca="false">IF(B49&gt;0,B18/B49,0)</f>
        <v>0.00661039096519537</v>
      </c>
      <c r="F18" s="26" t="n">
        <f aca="false">IF(Assumptions!B35&gt;0,B18/Assumptions!B35,0)</f>
        <v>0.0111070131037319</v>
      </c>
      <c r="H18" s="40" t="s">
        <v>153</v>
      </c>
    </row>
    <row r="19" customFormat="false" ht="15.75" hidden="false" customHeight="true" outlineLevel="0" collapsed="false">
      <c r="A19" s="36" t="s">
        <v>102</v>
      </c>
      <c r="B19" s="37" t="n">
        <f aca="false">Assumptions!B34</f>
        <v>276700</v>
      </c>
      <c r="C19" s="38" t="n">
        <f aca="false">IF(Assumptions!B10&gt;0,B19/Assumptions!B10,0)</f>
        <v>9223.33333333333</v>
      </c>
      <c r="D19" s="39" t="n">
        <f aca="false">IF(Assumptions!B9&gt;0,B19/Assumptions!B9,0)</f>
        <v>0.0637894923698131</v>
      </c>
      <c r="E19" s="26" t="n">
        <f aca="false">IF(B49&gt;0,B19/B49,0)</f>
        <v>0.00698127931324259</v>
      </c>
      <c r="F19" s="26" t="n">
        <f aca="false">IF(Assumptions!B35&gt;0,B19/Assumptions!B35,0)</f>
        <v>0.0117301928465748</v>
      </c>
      <c r="H19" s="40" t="s">
        <v>154</v>
      </c>
    </row>
    <row r="20" customFormat="false" ht="15.75" hidden="false" customHeight="true" outlineLevel="0" collapsed="false">
      <c r="A20" s="27" t="s">
        <v>155</v>
      </c>
      <c r="B20" s="27" t="n">
        <f aca="false">Assumptions!B35</f>
        <v>23588700</v>
      </c>
      <c r="C20" s="38" t="n">
        <f aca="false">IF(Assumptions!B10&gt;0,B20/Assumptions!B10,0)</f>
        <v>786290</v>
      </c>
      <c r="D20" s="39" t="n">
        <f aca="false">IF(Assumptions!B9&gt;0,B20/Assumptions!B9,0)</f>
        <v>5.43805998794293</v>
      </c>
      <c r="E20" s="26" t="n">
        <f aca="false">IF(B49&gt;0,B20/B49,0)</f>
        <v>0.595154692216427</v>
      </c>
      <c r="F20" s="26" t="n">
        <f aca="false">1</f>
        <v>1</v>
      </c>
    </row>
    <row r="22" customFormat="false" ht="18" hidden="false" customHeight="true" outlineLevel="0" collapsed="false">
      <c r="A22" s="35" t="s">
        <v>156</v>
      </c>
      <c r="B22" s="35"/>
      <c r="C22" s="35"/>
      <c r="D22" s="35"/>
      <c r="E22" s="35"/>
      <c r="F22" s="35"/>
      <c r="G22" s="35"/>
      <c r="H22" s="35"/>
    </row>
    <row r="23" customFormat="false" ht="15.75" hidden="false" customHeight="true" outlineLevel="0" collapsed="false">
      <c r="A23" s="36" t="s">
        <v>157</v>
      </c>
      <c r="B23" s="37" t="n">
        <f aca="false">Assumptions!B38</f>
        <v>1320000</v>
      </c>
      <c r="C23" s="38" t="n">
        <f aca="false">IF(Assumptions!B10&gt;0,B23/Assumptions!B10,0)</f>
        <v>44000</v>
      </c>
      <c r="D23" s="39" t="n">
        <f aca="false">IF(Assumptions!B9&gt;0,B23/Assumptions!B9,0)</f>
        <v>0.304308384272328</v>
      </c>
      <c r="E23" s="26" t="n">
        <f aca="false">IF(B49&gt;0,B23/B49,0)</f>
        <v>0.0333042598246484</v>
      </c>
      <c r="H23" s="40" t="s">
        <v>158</v>
      </c>
    </row>
    <row r="24" customFormat="false" ht="15.75" hidden="false" customHeight="true" outlineLevel="0" collapsed="false">
      <c r="A24" s="36" t="s">
        <v>106</v>
      </c>
      <c r="B24" s="37" t="n">
        <f aca="false">Assumptions!B39</f>
        <v>83000</v>
      </c>
      <c r="C24" s="38" t="n">
        <f aca="false">IF(Assumptions!B10&gt;0,B24/Assumptions!B10,0)</f>
        <v>2766.66666666667</v>
      </c>
      <c r="D24" s="39" t="n">
        <f aca="false">IF(Assumptions!B9&gt;0,B24/Assumptions!B9,0)</f>
        <v>0.0191345423443964</v>
      </c>
      <c r="E24" s="26" t="n">
        <f aca="false">IF(B49&gt;0,B24/B49,0)</f>
        <v>0.0020941314889741</v>
      </c>
      <c r="H24" s="40" t="s">
        <v>159</v>
      </c>
    </row>
    <row r="25" customFormat="false" ht="15.75" hidden="false" customHeight="true" outlineLevel="0" collapsed="false">
      <c r="A25" s="36" t="s">
        <v>160</v>
      </c>
      <c r="B25" s="25" t="n">
        <v>0</v>
      </c>
      <c r="C25" s="38" t="n">
        <f aca="false">IF(Assumptions!B10&gt;0,B25/Assumptions!B10,0)</f>
        <v>0</v>
      </c>
      <c r="D25" s="39" t="n">
        <f aca="false">IF(Assumptions!B9&gt;0,B25/Assumptions!B9,0)</f>
        <v>0</v>
      </c>
      <c r="E25" s="26" t="n">
        <f aca="false">IF(B49&gt;0,B25/B49,0)</f>
        <v>0</v>
      </c>
      <c r="H25" s="40" t="s">
        <v>161</v>
      </c>
    </row>
    <row r="26" customFormat="false" ht="15.75" hidden="false" customHeight="true" outlineLevel="0" collapsed="false">
      <c r="A26" s="36" t="s">
        <v>162</v>
      </c>
      <c r="B26" s="25" t="n">
        <v>0</v>
      </c>
      <c r="C26" s="38" t="n">
        <f aca="false">IF(Assumptions!B10&gt;0,B26/Assumptions!B10,0)</f>
        <v>0</v>
      </c>
      <c r="D26" s="39" t="n">
        <f aca="false">IF(Assumptions!B9&gt;0,B26/Assumptions!B9,0)</f>
        <v>0</v>
      </c>
      <c r="E26" s="26" t="n">
        <f aca="false">IF(B49&gt;0,B26/B49,0)</f>
        <v>0</v>
      </c>
      <c r="H26" s="40" t="s">
        <v>163</v>
      </c>
    </row>
    <row r="27" customFormat="false" ht="15.75" hidden="false" customHeight="true" outlineLevel="0" collapsed="false">
      <c r="A27" s="36" t="s">
        <v>164</v>
      </c>
      <c r="B27" s="25" t="n">
        <v>0</v>
      </c>
      <c r="C27" s="38" t="n">
        <f aca="false">IF(Assumptions!B10&gt;0,B27/Assumptions!B10,0)</f>
        <v>0</v>
      </c>
      <c r="D27" s="39" t="n">
        <f aca="false">IF(Assumptions!B9&gt;0,B27/Assumptions!B9,0)</f>
        <v>0</v>
      </c>
      <c r="E27" s="26" t="n">
        <f aca="false">IF(B49&gt;0,B27/B49,0)</f>
        <v>0</v>
      </c>
      <c r="H27" s="40"/>
    </row>
    <row r="28" customFormat="false" ht="15.75" hidden="false" customHeight="true" outlineLevel="0" collapsed="false">
      <c r="A28" s="27" t="s">
        <v>165</v>
      </c>
      <c r="B28" s="27" t="n">
        <f aca="false">SUM(B23:B27)</f>
        <v>1403000</v>
      </c>
      <c r="C28" s="38" t="n">
        <f aca="false">IF(Assumptions!B10&gt;0,B28/Assumptions!B10,0)</f>
        <v>46766.6666666667</v>
      </c>
      <c r="D28" s="39" t="n">
        <f aca="false">IF(Assumptions!B9&gt;0,B28/Assumptions!B9,0)</f>
        <v>0.323442926616725</v>
      </c>
      <c r="E28" s="26" t="n">
        <f aca="false">IF(B49&gt;0,B28/B49,0)</f>
        <v>0.0353983913136225</v>
      </c>
    </row>
    <row r="30" customFormat="false" ht="18" hidden="false" customHeight="true" outlineLevel="0" collapsed="false">
      <c r="A30" s="35" t="s">
        <v>166</v>
      </c>
      <c r="B30" s="35"/>
      <c r="C30" s="35"/>
      <c r="D30" s="35"/>
      <c r="E30" s="35"/>
      <c r="F30" s="35"/>
      <c r="G30" s="35"/>
      <c r="H30" s="35"/>
    </row>
    <row r="31" customFormat="false" ht="15.75" hidden="false" customHeight="true" outlineLevel="0" collapsed="false">
      <c r="A31" s="36" t="s">
        <v>167</v>
      </c>
      <c r="B31" s="25" t="n">
        <v>0</v>
      </c>
      <c r="C31" s="38" t="n">
        <f aca="false">IF(Assumptions!B10&gt;0,B31/Assumptions!B10,0)</f>
        <v>0</v>
      </c>
      <c r="D31" s="39" t="n">
        <f aca="false">IF(Assumptions!B9&gt;0,B31/Assumptions!B9,0)</f>
        <v>0</v>
      </c>
      <c r="E31" s="26" t="n">
        <f aca="false">IF(B49&gt;0,B31/B49,0)</f>
        <v>0</v>
      </c>
      <c r="H31" s="40" t="s">
        <v>168</v>
      </c>
    </row>
    <row r="32" customFormat="false" ht="15.75" hidden="false" customHeight="true" outlineLevel="0" collapsed="false">
      <c r="A32" s="36" t="s">
        <v>169</v>
      </c>
      <c r="B32" s="25" t="n">
        <v>0</v>
      </c>
      <c r="C32" s="38" t="n">
        <f aca="false">IF(Assumptions!B10&gt;0,B32/Assumptions!B10,0)</f>
        <v>0</v>
      </c>
      <c r="D32" s="39" t="n">
        <f aca="false">IF(Assumptions!B9&gt;0,B32/Assumptions!B9,0)</f>
        <v>0</v>
      </c>
      <c r="E32" s="26" t="n">
        <f aca="false">IF(B49&gt;0,B32/B49,0)</f>
        <v>0</v>
      </c>
      <c r="H32" s="40" t="s">
        <v>170</v>
      </c>
    </row>
    <row r="33" customFormat="false" ht="15.75" hidden="false" customHeight="true" outlineLevel="0" collapsed="false">
      <c r="A33" s="36" t="s">
        <v>171</v>
      </c>
      <c r="B33" s="25" t="n">
        <v>0</v>
      </c>
      <c r="C33" s="38" t="n">
        <f aca="false">IF(Assumptions!B10&gt;0,B33/Assumptions!B10,0)</f>
        <v>0</v>
      </c>
      <c r="D33" s="39" t="n">
        <f aca="false">IF(Assumptions!B9&gt;0,B33/Assumptions!B9,0)</f>
        <v>0</v>
      </c>
      <c r="E33" s="26" t="n">
        <f aca="false">IF(B49&gt;0,B33/B49,0)</f>
        <v>0</v>
      </c>
      <c r="H33" s="40" t="s">
        <v>172</v>
      </c>
    </row>
    <row r="34" customFormat="false" ht="15.75" hidden="false" customHeight="true" outlineLevel="0" collapsed="false">
      <c r="A34" s="36" t="s">
        <v>173</v>
      </c>
      <c r="B34" s="25" t="n">
        <v>0</v>
      </c>
      <c r="C34" s="38" t="n">
        <f aca="false">IF(Assumptions!B10&gt;0,B34/Assumptions!B10,0)</f>
        <v>0</v>
      </c>
      <c r="D34" s="39" t="n">
        <f aca="false">IF(Assumptions!B9&gt;0,B34/Assumptions!B9,0)</f>
        <v>0</v>
      </c>
      <c r="E34" s="26" t="n">
        <f aca="false">IF(B49&gt;0,B34/B49,0)</f>
        <v>0</v>
      </c>
      <c r="H34" s="40"/>
    </row>
    <row r="35" customFormat="false" ht="15.75" hidden="false" customHeight="true" outlineLevel="0" collapsed="false">
      <c r="A35" s="36" t="s">
        <v>174</v>
      </c>
      <c r="B35" s="25" t="n">
        <v>0</v>
      </c>
      <c r="C35" s="38" t="n">
        <f aca="false">IF(Assumptions!B10&gt;0,B35/Assumptions!B10,0)</f>
        <v>0</v>
      </c>
      <c r="D35" s="39" t="n">
        <f aca="false">IF(Assumptions!B9&gt;0,B35/Assumptions!B9,0)</f>
        <v>0</v>
      </c>
      <c r="E35" s="26" t="n">
        <f aca="false">IF(B49&gt;0,B35/B49,0)</f>
        <v>0</v>
      </c>
      <c r="H35" s="40"/>
    </row>
    <row r="36" customFormat="false" ht="15.75" hidden="false" customHeight="true" outlineLevel="0" collapsed="false">
      <c r="A36" s="27" t="s">
        <v>175</v>
      </c>
      <c r="B36" s="27" t="n">
        <f aca="false">SUM(B31:B35)</f>
        <v>0</v>
      </c>
      <c r="C36" s="38" t="n">
        <f aca="false">IF(Assumptions!B10&gt;0,B36/Assumptions!B10,0)</f>
        <v>0</v>
      </c>
      <c r="D36" s="39" t="n">
        <f aca="false">IF(Assumptions!B9&gt;0,B36/Assumptions!B9,0)</f>
        <v>0</v>
      </c>
      <c r="E36" s="26" t="n">
        <f aca="false">IF(B49&gt;0,B36/B49,0)</f>
        <v>0</v>
      </c>
    </row>
    <row r="38" customFormat="false" ht="18" hidden="false" customHeight="true" outlineLevel="0" collapsed="false">
      <c r="A38" s="35" t="s">
        <v>176</v>
      </c>
      <c r="B38" s="35"/>
      <c r="C38" s="35"/>
      <c r="D38" s="35"/>
      <c r="E38" s="35"/>
      <c r="F38" s="35"/>
      <c r="G38" s="35"/>
      <c r="H38" s="35"/>
    </row>
    <row r="39" customFormat="false" ht="15.75" hidden="false" customHeight="true" outlineLevel="0" collapsed="false">
      <c r="A39" s="36" t="s">
        <v>177</v>
      </c>
      <c r="B39" s="37" t="n">
        <f aca="false">'Dev Budget'!B19</f>
        <v>1249585</v>
      </c>
      <c r="C39" s="38" t="n">
        <f aca="false">IF(Assumptions!B10&gt;0,B39/Assumptions!B10,0)</f>
        <v>41652.8333333333</v>
      </c>
      <c r="D39" s="39" t="n">
        <f aca="false">IF(Assumptions!B9&gt;0,B39/Assumptions!B9,0)</f>
        <v>0.288075145727983</v>
      </c>
      <c r="E39" s="26" t="n">
        <f aca="false">IF(B49&gt;0,B39/B49,0)</f>
        <v>0.0315276541765025</v>
      </c>
      <c r="H39" s="40" t="s">
        <v>178</v>
      </c>
    </row>
    <row r="40" customFormat="false" ht="15.75" hidden="false" customHeight="true" outlineLevel="0" collapsed="false">
      <c r="A40" s="36" t="s">
        <v>179</v>
      </c>
      <c r="B40" s="37" t="n">
        <f aca="false">Assumptions!B49</f>
        <v>6700</v>
      </c>
      <c r="C40" s="38" t="n">
        <f aca="false">IF(Assumptions!B10&gt;0,B40/Assumptions!B10,0)</f>
        <v>223.333333333333</v>
      </c>
      <c r="D40" s="39" t="n">
        <f aca="false">IF(Assumptions!B9&gt;0,B40/Assumptions!B9,0)</f>
        <v>0.00154459558683682</v>
      </c>
      <c r="E40" s="26" t="n">
        <f aca="false">IF(B49&gt;0,B40/B49,0)</f>
        <v>0.000169044349109958</v>
      </c>
      <c r="H40" s="40"/>
    </row>
    <row r="41" customFormat="false" ht="15.75" hidden="false" customHeight="true" outlineLevel="0" collapsed="false">
      <c r="A41" s="36" t="s">
        <v>180</v>
      </c>
      <c r="B41" s="37" t="n">
        <f aca="false">Assumptions!B50</f>
        <v>6700</v>
      </c>
      <c r="C41" s="38" t="n">
        <f aca="false">IF(Assumptions!B10&gt;0,B41/Assumptions!B10,0)</f>
        <v>223.333333333333</v>
      </c>
      <c r="D41" s="39" t="n">
        <f aca="false">IF(Assumptions!B9&gt;0,B41/Assumptions!B9,0)</f>
        <v>0.00154459558683682</v>
      </c>
      <c r="E41" s="26" t="n">
        <f aca="false">IF(B49&gt;0,B41/B49,0)</f>
        <v>0.000169044349109958</v>
      </c>
      <c r="H41" s="40"/>
    </row>
    <row r="42" customFormat="false" ht="15.75" hidden="false" customHeight="true" outlineLevel="0" collapsed="false">
      <c r="A42" s="36" t="s">
        <v>181</v>
      </c>
      <c r="B42" s="37" t="n">
        <f aca="false">Assumptions!B53</f>
        <v>25800</v>
      </c>
      <c r="C42" s="38" t="n">
        <f aca="false">IF(Assumptions!B10&gt;0,B42/Assumptions!B10,0)</f>
        <v>860</v>
      </c>
      <c r="D42" s="39" t="n">
        <f aca="false">IF(Assumptions!B9&gt;0,B42/Assumptions!B9,0)</f>
        <v>0.00594784569259551</v>
      </c>
      <c r="E42" s="26" t="n">
        <f aca="false">IF(B49&gt;0,B42/B49,0)</f>
        <v>0.000650946896572674</v>
      </c>
      <c r="H42" s="40" t="s">
        <v>182</v>
      </c>
    </row>
    <row r="43" customFormat="false" ht="15.75" hidden="false" customHeight="true" outlineLevel="0" collapsed="false">
      <c r="A43" s="36" t="s">
        <v>183</v>
      </c>
      <c r="B43" s="37" t="n">
        <f aca="false">Assumptions!B44</f>
        <v>240000</v>
      </c>
      <c r="C43" s="38" t="n">
        <f aca="false">IF(Assumptions!B10&gt;0,B43/Assumptions!B10,0)</f>
        <v>8000</v>
      </c>
      <c r="D43" s="39" t="n">
        <f aca="false">IF(Assumptions!B9&gt;0,B43/Assumptions!B9,0)</f>
        <v>0.0553287971404233</v>
      </c>
      <c r="E43" s="26" t="n">
        <f aca="false">IF(B49&gt;0,B43/B49,0)</f>
        <v>0.00605531996811789</v>
      </c>
      <c r="H43" s="40" t="s">
        <v>184</v>
      </c>
    </row>
    <row r="44" customFormat="false" ht="15.75" hidden="false" customHeight="true" outlineLevel="0" collapsed="false">
      <c r="A44" s="36" t="s">
        <v>185</v>
      </c>
      <c r="B44" s="37" t="n">
        <f aca="false">Assumptions!B45</f>
        <v>150000</v>
      </c>
      <c r="C44" s="38" t="n">
        <f aca="false">IF(Assumptions!B10&gt;0,B44/Assumptions!B10,0)</f>
        <v>5000</v>
      </c>
      <c r="D44" s="39" t="n">
        <f aca="false">IF(Assumptions!B9&gt;0,B44/Assumptions!B9,0)</f>
        <v>0.0345804982127646</v>
      </c>
      <c r="E44" s="26" t="n">
        <f aca="false">IF(B49&gt;0,B44/B49,0)</f>
        <v>0.00378457498007368</v>
      </c>
      <c r="H44" s="40"/>
    </row>
    <row r="45" customFormat="false" ht="15.75" hidden="false" customHeight="true" outlineLevel="0" collapsed="false">
      <c r="A45" s="36" t="s">
        <v>186</v>
      </c>
      <c r="B45" s="37" t="n">
        <f aca="false">Assumptions!B51</f>
        <v>1178</v>
      </c>
      <c r="C45" s="38" t="n">
        <f aca="false">IF(Assumptions!B10&gt;0,B45/Assumptions!B10,0)</f>
        <v>39.2666666666667</v>
      </c>
      <c r="D45" s="39" t="n">
        <f aca="false">IF(Assumptions!B9&gt;0,B45/Assumptions!B9,0)</f>
        <v>0.000271572179297578</v>
      </c>
      <c r="E45" s="26" t="n">
        <f aca="false">IF(B49&gt;0,B45/B49,0)</f>
        <v>2.9721528843512E-005</v>
      </c>
      <c r="H45" s="40"/>
    </row>
    <row r="46" customFormat="false" ht="15.75" hidden="false" customHeight="true" outlineLevel="0" collapsed="false">
      <c r="A46" s="36" t="s">
        <v>187</v>
      </c>
      <c r="B46" s="37" t="n">
        <f aca="false">'Dev Budget'!B28</f>
        <v>1575617.48</v>
      </c>
      <c r="C46" s="38" t="n">
        <f aca="false">IF(Assumptions!B10&gt;0,B46/Assumptions!B10,0)</f>
        <v>52520.5826666667</v>
      </c>
      <c r="D46" s="39" t="n">
        <f aca="false">IF(Assumptions!B9&gt;0,B46/Assumptions!B9,0)</f>
        <v>0.363237583007604</v>
      </c>
      <c r="E46" s="26" t="n">
        <f aca="false">IF(B49&gt;0,B46/B49,0)</f>
        <v>0.0397536166198316</v>
      </c>
      <c r="H46" s="40" t="s">
        <v>188</v>
      </c>
    </row>
    <row r="47" customFormat="false" ht="15.75" hidden="false" customHeight="true" outlineLevel="0" collapsed="false">
      <c r="A47" s="27" t="s">
        <v>189</v>
      </c>
      <c r="B47" s="27" t="n">
        <f aca="false">SUM(B39:B46)</f>
        <v>3255580.48</v>
      </c>
      <c r="C47" s="38" t="n">
        <f aca="false">IF(Assumptions!B10&gt;0,B47/Assumptions!B10,0)</f>
        <v>108519.349333333</v>
      </c>
      <c r="D47" s="39" t="n">
        <f aca="false">IF(Assumptions!B9&gt;0,B47/Assumptions!B9,0)</f>
        <v>0.750530633134342</v>
      </c>
      <c r="E47" s="26" t="n">
        <f aca="false">IF(B49&gt;0,B47/B49,0)</f>
        <v>0.0821399228681618</v>
      </c>
    </row>
    <row r="49" customFormat="false" ht="15.75" hidden="false" customHeight="true" outlineLevel="0" collapsed="false">
      <c r="A49" s="41" t="s">
        <v>190</v>
      </c>
      <c r="B49" s="41" t="n">
        <f aca="false">B11+B20+B28+B36+B47</f>
        <v>39634569.48</v>
      </c>
      <c r="C49" s="38" t="n">
        <f aca="false">IF(Assumptions!B10&gt;0,B49/Assumptions!B10,0)</f>
        <v>1321152.316</v>
      </c>
      <c r="D49" s="39" t="n">
        <f aca="false">IF(Assumptions!B9&gt;0,B49/Assumptions!B9,0)</f>
        <v>9.13722106044556</v>
      </c>
    </row>
    <row r="51" customFormat="false" ht="18" hidden="false" customHeight="true" outlineLevel="0" collapsed="false">
      <c r="A51" s="34" t="s">
        <v>191</v>
      </c>
      <c r="B51" s="34"/>
      <c r="C51" s="34"/>
      <c r="D51" s="34"/>
    </row>
    <row r="52" customFormat="false" ht="15.75" hidden="false" customHeight="true" outlineLevel="0" collapsed="false">
      <c r="A52" s="36" t="s">
        <v>192</v>
      </c>
      <c r="B52" s="38" t="n">
        <f aca="false">B49/Assumptions!B7</f>
        <v>291430.657941176</v>
      </c>
    </row>
    <row r="53" customFormat="false" ht="15.75" hidden="false" customHeight="true" outlineLevel="0" collapsed="false">
      <c r="A53" s="36" t="s">
        <v>193</v>
      </c>
      <c r="B53" s="39" t="n">
        <f aca="false">B49/Assumptions!B9</f>
        <v>9.13722106044556</v>
      </c>
    </row>
    <row r="54" customFormat="false" ht="15.75" hidden="false" customHeight="true" outlineLevel="0" collapsed="false">
      <c r="A54" s="36" t="s">
        <v>194</v>
      </c>
      <c r="B54" s="38" t="n">
        <f aca="false">B49/Assumptions!B10</f>
        <v>1321152.316</v>
      </c>
    </row>
    <row r="55" customFormat="false" ht="15.75" hidden="false" customHeight="true" outlineLevel="0" collapsed="false">
      <c r="A55" s="36" t="s">
        <v>195</v>
      </c>
      <c r="B55" s="26" t="n">
        <f aca="false">B20/B49</f>
        <v>0.595154692216427</v>
      </c>
    </row>
    <row r="56" customFormat="false" ht="15.75" hidden="false" customHeight="true" outlineLevel="0" collapsed="false">
      <c r="A56" s="36" t="s">
        <v>196</v>
      </c>
      <c r="B56" s="26" t="n">
        <f aca="false">B11/B49</f>
        <v>0.287306993601788</v>
      </c>
    </row>
    <row r="57" customFormat="false" ht="15.75" hidden="false" customHeight="true" outlineLevel="0" collapsed="false">
      <c r="A57" s="36" t="s">
        <v>197</v>
      </c>
      <c r="B57" s="26" t="n">
        <f aca="false">(B28+B47)/B49</f>
        <v>0.117538314181784</v>
      </c>
    </row>
  </sheetData>
  <mergeCells count="9">
    <mergeCell ref="A1:H1"/>
    <mergeCell ref="A2:H2"/>
    <mergeCell ref="A4:H4"/>
    <mergeCell ref="A6:H6"/>
    <mergeCell ref="A13:H13"/>
    <mergeCell ref="A22:H22"/>
    <mergeCell ref="A30:H30"/>
    <mergeCell ref="A38:H38"/>
    <mergeCell ref="A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"/>
    <col collapsed="false" customWidth="true" hidden="false" outlineLevel="0" max="5" min="3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22"/>
  </cols>
  <sheetData>
    <row r="1" customFormat="false" ht="30" hidden="false" customHeight="true" outlineLevel="0" collapsed="false">
      <c r="A1" s="32" t="s">
        <v>198</v>
      </c>
      <c r="B1" s="32"/>
      <c r="C1" s="32"/>
      <c r="D1" s="32"/>
      <c r="E1" s="32"/>
      <c r="F1" s="32"/>
      <c r="G1" s="32"/>
      <c r="H1" s="32"/>
      <c r="I1" s="32"/>
    </row>
    <row r="2" customFormat="false" ht="15.75" hidden="false" customHeight="true" outlineLevel="0" collapsed="false">
      <c r="A2" s="33" t="s">
        <v>199</v>
      </c>
      <c r="B2" s="33"/>
      <c r="C2" s="33"/>
      <c r="D2" s="33"/>
      <c r="E2" s="33"/>
      <c r="F2" s="33"/>
      <c r="G2" s="33"/>
      <c r="H2" s="33"/>
      <c r="I2" s="33"/>
    </row>
    <row r="4" customFormat="false" ht="18" hidden="false" customHeight="true" outlineLevel="0" collapsed="false">
      <c r="A4" s="34" t="s">
        <v>200</v>
      </c>
      <c r="B4" s="34"/>
      <c r="C4" s="34"/>
      <c r="D4" s="34"/>
      <c r="E4" s="34"/>
      <c r="F4" s="34"/>
      <c r="G4" s="34"/>
      <c r="H4" s="34"/>
      <c r="I4" s="34"/>
    </row>
    <row r="5" customFormat="false" ht="15.75" hidden="false" customHeight="true" outlineLevel="0" collapsed="false">
      <c r="A5" s="36" t="s">
        <v>73</v>
      </c>
      <c r="B5" s="42" t="n">
        <f aca="false">Assumptions!B7</f>
        <v>136</v>
      </c>
      <c r="D5" s="40" t="s">
        <v>201</v>
      </c>
    </row>
    <row r="6" customFormat="false" ht="15.75" hidden="false" customHeight="true" outlineLevel="0" collapsed="false">
      <c r="A6" s="36" t="s">
        <v>202</v>
      </c>
      <c r="B6" s="42" t="n">
        <f aca="false">Assumptions!B8</f>
        <v>99.58</v>
      </c>
      <c r="D6" s="40" t="s">
        <v>203</v>
      </c>
    </row>
    <row r="7" customFormat="false" ht="15.75" hidden="false" customHeight="true" outlineLevel="0" collapsed="false">
      <c r="A7" s="36" t="s">
        <v>4</v>
      </c>
      <c r="B7" s="43" t="n">
        <f aca="false">Assumptions!B9</f>
        <v>4337705</v>
      </c>
      <c r="D7" s="40" t="n">
        <f aca="false">IF(Assumptions!B9&gt;0,Assumptions!B9/Assumptions!B10,0)</f>
        <v>144590.166666667</v>
      </c>
    </row>
    <row r="8" customFormat="false" ht="15.75" hidden="false" customHeight="true" outlineLevel="0" collapsed="false">
      <c r="A8" s="36" t="s">
        <v>204</v>
      </c>
      <c r="B8" s="44" t="n">
        <f aca="false">Assumptions!B8/Assumptions!B7</f>
        <v>0.732205882352941</v>
      </c>
      <c r="D8" s="40" t="s">
        <v>205</v>
      </c>
    </row>
    <row r="9" customFormat="false" ht="15.75" hidden="false" customHeight="true" outlineLevel="0" collapsed="false">
      <c r="A9" s="36" t="s">
        <v>5</v>
      </c>
      <c r="B9" s="43" t="n">
        <f aca="false">Assumptions!B10</f>
        <v>30</v>
      </c>
      <c r="D9" s="40" t="s">
        <v>206</v>
      </c>
    </row>
    <row r="10" customFormat="false" ht="15.75" hidden="false" customHeight="true" outlineLevel="0" collapsed="false">
      <c r="A10" s="36" t="s">
        <v>207</v>
      </c>
      <c r="B10" s="43" t="n">
        <f aca="false">Assumptions!B9/Assumptions!B10</f>
        <v>144590.166666667</v>
      </c>
      <c r="D10" s="40" t="s">
        <v>208</v>
      </c>
    </row>
    <row r="11" customFormat="false" ht="15.75" hidden="false" customHeight="true" outlineLevel="0" collapsed="false">
      <c r="A11" s="36" t="s">
        <v>209</v>
      </c>
      <c r="B11" s="42" t="n">
        <f aca="false">Assumptions!B8/Assumptions!B10</f>
        <v>3.31933333333333</v>
      </c>
      <c r="D11" s="40"/>
    </row>
    <row r="13" customFormat="false" ht="18" hidden="false" customHeight="true" outlineLevel="0" collapsed="false">
      <c r="A13" s="34" t="s">
        <v>210</v>
      </c>
      <c r="B13" s="34"/>
      <c r="C13" s="34"/>
      <c r="D13" s="34"/>
      <c r="E13" s="34"/>
      <c r="F13" s="34"/>
      <c r="G13" s="34"/>
      <c r="H13" s="34"/>
      <c r="I13" s="34"/>
    </row>
    <row r="14" customFormat="false" ht="15.75" hidden="false" customHeight="true" outlineLevel="0" collapsed="false">
      <c r="A14" s="23" t="s">
        <v>211</v>
      </c>
      <c r="B14" s="23" t="s">
        <v>212</v>
      </c>
      <c r="C14" s="23" t="s">
        <v>78</v>
      </c>
      <c r="D14" s="23" t="s">
        <v>213</v>
      </c>
      <c r="E14" s="23" t="s">
        <v>214</v>
      </c>
      <c r="F14" s="23" t="s">
        <v>215</v>
      </c>
      <c r="G14" s="23" t="s">
        <v>79</v>
      </c>
      <c r="H14" s="23" t="s">
        <v>80</v>
      </c>
      <c r="I14" s="23" t="s">
        <v>216</v>
      </c>
    </row>
    <row r="15" customFormat="false" ht="15.75" hidden="false" customHeight="true" outlineLevel="0" collapsed="false">
      <c r="A15" s="36" t="s">
        <v>217</v>
      </c>
      <c r="B15" s="43" t="n">
        <f aca="false">Assumptions!B14</f>
        <v>8</v>
      </c>
      <c r="C15" s="42" t="n">
        <f aca="false">Assumptions!C14</f>
        <v>27.6</v>
      </c>
      <c r="D15" s="28" t="n">
        <f aca="false">C15*43560</f>
        <v>1202256</v>
      </c>
      <c r="E15" s="26" t="n">
        <f aca="false">C15/Assumptions!B8</f>
        <v>0.277164089174533</v>
      </c>
      <c r="F15" s="28" t="n">
        <f aca="false">D15/B15</f>
        <v>150282</v>
      </c>
      <c r="G15" s="45" t="n">
        <f aca="false">Assumptions!D14</f>
        <v>7.653</v>
      </c>
      <c r="H15" s="37" t="n">
        <f aca="false">Assumptions!E14</f>
        <v>9190000</v>
      </c>
      <c r="I15" s="38" t="n">
        <f aca="false">H15/C15</f>
        <v>332971.014492754</v>
      </c>
    </row>
    <row r="16" customFormat="false" ht="15.75" hidden="false" customHeight="true" outlineLevel="0" collapsed="false">
      <c r="A16" s="36" t="s">
        <v>218</v>
      </c>
      <c r="B16" s="43" t="n">
        <f aca="false">Assumptions!B15</f>
        <v>18</v>
      </c>
      <c r="C16" s="42" t="n">
        <f aca="false">Assumptions!C15</f>
        <v>23.5</v>
      </c>
      <c r="D16" s="28" t="n">
        <f aca="false">C16*43560</f>
        <v>1023660</v>
      </c>
      <c r="E16" s="26" t="n">
        <f aca="false">C16/Assumptions!B8</f>
        <v>0.235991162884113</v>
      </c>
      <c r="F16" s="28" t="n">
        <f aca="false">D16/B16</f>
        <v>56870</v>
      </c>
      <c r="G16" s="45" t="n">
        <f aca="false">Assumptions!D15</f>
        <v>14.556</v>
      </c>
      <c r="H16" s="37" t="n">
        <f aca="false">Assumptions!E15</f>
        <v>14900000</v>
      </c>
      <c r="I16" s="38" t="n">
        <f aca="false">H16/C16</f>
        <v>634042.553191489</v>
      </c>
    </row>
    <row r="17" customFormat="false" ht="15.75" hidden="false" customHeight="true" outlineLevel="0" collapsed="false">
      <c r="A17" s="36" t="s">
        <v>84</v>
      </c>
      <c r="B17" s="43" t="n">
        <f aca="false">Assumptions!B16</f>
        <v>4</v>
      </c>
      <c r="C17" s="42" t="n">
        <f aca="false">Assumptions!C16</f>
        <v>48.5</v>
      </c>
      <c r="D17" s="28" t="n">
        <f aca="false">C17*43560</f>
        <v>2112660</v>
      </c>
      <c r="E17" s="26" t="n">
        <f aca="false">C17/Assumptions!B8</f>
        <v>0.487045591484234</v>
      </c>
      <c r="F17" s="28" t="n">
        <f aca="false">D17/B17</f>
        <v>528165</v>
      </c>
      <c r="G17" s="45" t="n">
        <f aca="false">Assumptions!D16</f>
        <v>7.242</v>
      </c>
      <c r="H17" s="37" t="n">
        <f aca="false">Assumptions!E16</f>
        <v>15300437</v>
      </c>
      <c r="I17" s="38" t="n">
        <f aca="false">H17/C17</f>
        <v>315472.927835052</v>
      </c>
    </row>
    <row r="18" customFormat="false" ht="15.75" hidden="false" customHeight="true" outlineLevel="0" collapsed="false">
      <c r="A18" s="27" t="s">
        <v>219</v>
      </c>
      <c r="B18" s="46" t="n">
        <f aca="false">SUM(B15:B17)</f>
        <v>30</v>
      </c>
      <c r="C18" s="47" t="n">
        <f aca="false">SUM(C15:C17)</f>
        <v>99.6</v>
      </c>
      <c r="D18" s="46" t="n">
        <f aca="false">SUM(D15:D17)</f>
        <v>4338576</v>
      </c>
      <c r="E18" s="30" t="n">
        <f aca="false">1</f>
        <v>1</v>
      </c>
      <c r="H18" s="27" t="n">
        <f aca="false">SUM(H15:H17)</f>
        <v>39390437</v>
      </c>
      <c r="I18" s="38" t="n">
        <f aca="false">H18/C18</f>
        <v>395486.315261044</v>
      </c>
    </row>
    <row r="20" customFormat="false" ht="18" hidden="false" customHeight="true" outlineLevel="0" collapsed="false">
      <c r="A20" s="34" t="s">
        <v>220</v>
      </c>
      <c r="B20" s="34"/>
      <c r="C20" s="34"/>
      <c r="D20" s="34"/>
      <c r="E20" s="34"/>
      <c r="F20" s="34"/>
      <c r="G20" s="34"/>
      <c r="H20" s="34"/>
      <c r="I20" s="34"/>
    </row>
    <row r="21" customFormat="false" ht="15.75" hidden="false" customHeight="true" outlineLevel="0" collapsed="false">
      <c r="A21" s="23" t="s">
        <v>221</v>
      </c>
      <c r="B21" s="23" t="s">
        <v>222</v>
      </c>
      <c r="C21" s="23" t="s">
        <v>223</v>
      </c>
    </row>
    <row r="22" customFormat="false" ht="15.75" hidden="false" customHeight="true" outlineLevel="0" collapsed="false">
      <c r="A22" s="36" t="s">
        <v>224</v>
      </c>
      <c r="B22" s="37" t="n">
        <f aca="false">Assumptions!B56</f>
        <v>11387289</v>
      </c>
      <c r="C22" s="40" t="s">
        <v>225</v>
      </c>
    </row>
    <row r="23" customFormat="false" ht="15.75" hidden="false" customHeight="true" outlineLevel="0" collapsed="false">
      <c r="A23" s="36" t="s">
        <v>226</v>
      </c>
      <c r="B23" s="37" t="n">
        <f aca="false">Assumptions!E17</f>
        <v>39390437</v>
      </c>
      <c r="C23" s="40" t="s">
        <v>227</v>
      </c>
    </row>
    <row r="24" customFormat="false" ht="15.75" hidden="false" customHeight="true" outlineLevel="0" collapsed="false">
      <c r="A24" s="36" t="s">
        <v>228</v>
      </c>
      <c r="B24" s="37" t="n">
        <f aca="false">Assumptions!E17-Assumptions!B56</f>
        <v>28003148</v>
      </c>
      <c r="C24" s="40" t="s">
        <v>229</v>
      </c>
    </row>
    <row r="25" customFormat="false" ht="15.75" hidden="false" customHeight="true" outlineLevel="0" collapsed="false">
      <c r="A25" s="36" t="s">
        <v>230</v>
      </c>
      <c r="B25" s="37" t="n">
        <f aca="false">Assumptions!B56/Assumptions!B7</f>
        <v>83730.0661764706</v>
      </c>
      <c r="C25" s="40"/>
    </row>
    <row r="26" customFormat="false" ht="15.75" hidden="false" customHeight="true" outlineLevel="0" collapsed="false">
      <c r="A26" s="36" t="s">
        <v>231</v>
      </c>
      <c r="B26" s="37" t="n">
        <f aca="false">Assumptions!B56/Assumptions!B9</f>
        <v>2.62518751275156</v>
      </c>
      <c r="C26" s="40"/>
    </row>
    <row r="27" customFormat="false" ht="15.75" hidden="false" customHeight="true" outlineLevel="0" collapsed="false">
      <c r="A27" s="36" t="s">
        <v>232</v>
      </c>
      <c r="B27" s="44" t="n">
        <f aca="false">Assumptions!B56/Assumptions!E17</f>
        <v>0.289087653432228</v>
      </c>
      <c r="C27" s="40" t="s">
        <v>233</v>
      </c>
    </row>
    <row r="28" customFormat="false" ht="15.75" hidden="false" customHeight="true" outlineLevel="0" collapsed="false">
      <c r="A28" s="36" t="s">
        <v>234</v>
      </c>
      <c r="B28" s="37" t="n">
        <f aca="false">Assumptions!E17*(1-Assumptions!B60)</f>
        <v>37814819.52</v>
      </c>
      <c r="C28" s="40"/>
    </row>
    <row r="29" customFormat="false" ht="15.75" hidden="false" customHeight="true" outlineLevel="0" collapsed="false">
      <c r="A29" s="36" t="s">
        <v>235</v>
      </c>
      <c r="B29" s="37" t="n">
        <f aca="false">Assumptions!E17*(1-Assumptions!B60)/Assumptions!B8</f>
        <v>379743.116288411</v>
      </c>
      <c r="C29" s="40"/>
    </row>
    <row r="31" customFormat="false" ht="18" hidden="false" customHeight="true" outlineLevel="0" collapsed="false">
      <c r="A31" s="34" t="s">
        <v>236</v>
      </c>
      <c r="B31" s="34"/>
      <c r="C31" s="34"/>
      <c r="D31" s="34"/>
      <c r="E31" s="34"/>
      <c r="F31" s="34"/>
      <c r="G31" s="34"/>
      <c r="H31" s="34"/>
      <c r="I31" s="34"/>
    </row>
    <row r="32" customFormat="false" ht="15.75" hidden="false" customHeight="true" outlineLevel="0" collapsed="false">
      <c r="A32" s="23" t="s">
        <v>237</v>
      </c>
      <c r="B32" s="23" t="s">
        <v>238</v>
      </c>
      <c r="C32" s="23" t="s">
        <v>239</v>
      </c>
      <c r="D32" s="23" t="s">
        <v>77</v>
      </c>
      <c r="E32" s="23" t="s">
        <v>240</v>
      </c>
      <c r="F32" s="23" t="s">
        <v>241</v>
      </c>
      <c r="G32" s="23" t="s">
        <v>242</v>
      </c>
    </row>
    <row r="33" customFormat="false" ht="15.75" hidden="false" customHeight="true" outlineLevel="0" collapsed="false">
      <c r="A33" s="36" t="s">
        <v>243</v>
      </c>
      <c r="B33" s="43" t="n">
        <f aca="false">Assumptions!B23</f>
        <v>5</v>
      </c>
      <c r="C33" s="43" t="n">
        <f aca="false">Assumptions!B24</f>
        <v>22</v>
      </c>
      <c r="D33" s="43" t="n">
        <f aca="false">Assumptions!B14</f>
        <v>8</v>
      </c>
      <c r="E33" s="29" t="n">
        <f aca="false">Assumptions!B14/(Assumptions!B24-Assumptions!B23+1)</f>
        <v>0.444444444444444</v>
      </c>
      <c r="F33" s="37" t="n">
        <f aca="false">Assumptions!E14</f>
        <v>9190000</v>
      </c>
      <c r="G33" s="38" t="n">
        <f aca="false">F33</f>
        <v>9190000</v>
      </c>
    </row>
    <row r="34" customFormat="false" ht="15.75" hidden="false" customHeight="true" outlineLevel="0" collapsed="false">
      <c r="A34" s="36" t="s">
        <v>244</v>
      </c>
      <c r="B34" s="43" t="n">
        <f aca="false">Assumptions!B23</f>
        <v>5</v>
      </c>
      <c r="C34" s="43" t="n">
        <f aca="false">Assumptions!B24</f>
        <v>22</v>
      </c>
      <c r="D34" s="43" t="n">
        <f aca="false">Assumptions!B15</f>
        <v>18</v>
      </c>
      <c r="E34" s="29" t="n">
        <f aca="false">Assumptions!B15/(Assumptions!B24-Assumptions!B23+1)</f>
        <v>1</v>
      </c>
      <c r="F34" s="37" t="n">
        <f aca="false">Assumptions!E15</f>
        <v>14900000</v>
      </c>
      <c r="G34" s="38" t="n">
        <f aca="false">G33+F34</f>
        <v>24090000</v>
      </c>
    </row>
    <row r="35" customFormat="false" ht="15.75" hidden="false" customHeight="true" outlineLevel="0" collapsed="false">
      <c r="A35" s="36" t="s">
        <v>245</v>
      </c>
      <c r="B35" s="43" t="n">
        <f aca="false">Assumptions!B23</f>
        <v>5</v>
      </c>
      <c r="C35" s="43" t="n">
        <f aca="false">Assumptions!B24</f>
        <v>22</v>
      </c>
      <c r="D35" s="43" t="n">
        <f aca="false">Assumptions!B16</f>
        <v>4</v>
      </c>
      <c r="E35" s="29" t="n">
        <f aca="false">Assumptions!B16/(Assumptions!B24-Assumptions!B23+1)</f>
        <v>0.222222222222222</v>
      </c>
      <c r="F35" s="37" t="n">
        <f aca="false">Assumptions!E16</f>
        <v>15300437</v>
      </c>
      <c r="G35" s="38" t="n">
        <f aca="false">G34+F35</f>
        <v>39390437</v>
      </c>
    </row>
    <row r="36" customFormat="false" ht="18" hidden="false" customHeight="true" outlineLevel="0" collapsed="false">
      <c r="A36" s="27" t="s">
        <v>246</v>
      </c>
      <c r="D36" s="46" t="n">
        <f aca="false">SUM(D33:D35)</f>
        <v>30</v>
      </c>
      <c r="F36" s="27" t="n">
        <f aca="false">Assumptions!E17</f>
        <v>39390437</v>
      </c>
      <c r="G36" s="27" t="n">
        <f aca="false">Assumptions!E17</f>
        <v>39390437</v>
      </c>
    </row>
  </sheetData>
  <mergeCells count="6">
    <mergeCell ref="A1:I1"/>
    <mergeCell ref="A2:I2"/>
    <mergeCell ref="A4:I4"/>
    <mergeCell ref="A13:I13"/>
    <mergeCell ref="A20:I20"/>
    <mergeCell ref="A31:I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6" min="3" style="1" width="12"/>
    <col collapsed="false" customWidth="true" hidden="false" outlineLevel="0" max="8" min="7" style="1" width="10"/>
    <col collapsed="false" customWidth="true" hidden="false" outlineLevel="0" max="9" min="9" style="1" width="22"/>
  </cols>
  <sheetData>
    <row r="1" customFormat="false" ht="30" hidden="false" customHeight="true" outlineLevel="0" collapsed="false">
      <c r="A1" s="32" t="s">
        <v>247</v>
      </c>
      <c r="B1" s="32"/>
      <c r="C1" s="32"/>
      <c r="D1" s="32"/>
      <c r="E1" s="32"/>
      <c r="F1" s="32"/>
      <c r="G1" s="32"/>
      <c r="H1" s="32"/>
      <c r="I1" s="32"/>
    </row>
    <row r="2" customFormat="false" ht="15.75" hidden="false" customHeight="true" outlineLevel="0" collapsed="false">
      <c r="A2" s="33" t="s">
        <v>248</v>
      </c>
      <c r="B2" s="33"/>
      <c r="C2" s="33"/>
      <c r="D2" s="33"/>
      <c r="E2" s="33"/>
      <c r="F2" s="33"/>
      <c r="G2" s="33"/>
      <c r="H2" s="33"/>
      <c r="I2" s="33"/>
    </row>
    <row r="4" customFormat="false" ht="18" hidden="false" customHeight="true" outlineLevel="0" collapsed="false">
      <c r="A4" s="34" t="s">
        <v>249</v>
      </c>
      <c r="B4" s="34"/>
      <c r="C4" s="34"/>
      <c r="D4" s="34"/>
      <c r="E4" s="34"/>
      <c r="F4" s="34"/>
      <c r="G4" s="34"/>
      <c r="H4" s="34"/>
      <c r="I4" s="34"/>
    </row>
    <row r="5" customFormat="false" ht="15.75" hidden="false" customHeight="true" outlineLevel="0" collapsed="false">
      <c r="A5" s="23" t="s">
        <v>250</v>
      </c>
      <c r="B5" s="23" t="s">
        <v>251</v>
      </c>
      <c r="C5" s="23" t="s">
        <v>130</v>
      </c>
      <c r="D5" s="23" t="s">
        <v>131</v>
      </c>
      <c r="E5" s="23" t="s">
        <v>133</v>
      </c>
      <c r="F5" s="23" t="s">
        <v>238</v>
      </c>
      <c r="G5" s="23" t="s">
        <v>239</v>
      </c>
      <c r="H5" s="23" t="s">
        <v>252</v>
      </c>
      <c r="I5" s="23" t="s">
        <v>135</v>
      </c>
    </row>
    <row r="6" customFormat="false" ht="15.75" hidden="false" customHeight="true" outlineLevel="0" collapsed="false">
      <c r="A6" s="36" t="s">
        <v>97</v>
      </c>
      <c r="B6" s="37" t="n">
        <f aca="false">Assumptions!B29</f>
        <v>1993000</v>
      </c>
      <c r="C6" s="38" t="n">
        <f aca="false">IF(Assumptions!B10&gt;0,B6/Assumptions!B10,0)</f>
        <v>66433.3333333333</v>
      </c>
      <c r="D6" s="39" t="n">
        <f aca="false">IF(Assumptions!B9&gt;0,B6/Assumptions!B9,0)</f>
        <v>0.459459552920265</v>
      </c>
      <c r="E6" s="26" t="n">
        <f aca="false">IF(Assumptions!B35&gt;0,B6/Assumptions!B35,0)</f>
        <v>0.0844896073119757</v>
      </c>
      <c r="F6" s="21" t="n">
        <v>1</v>
      </c>
      <c r="G6" s="21" t="n">
        <v>18</v>
      </c>
      <c r="H6" s="28" t="n">
        <f aca="false">G6-F6+1</f>
        <v>18</v>
      </c>
      <c r="I6" s="40" t="s">
        <v>253</v>
      </c>
    </row>
    <row r="7" customFormat="false" ht="15.75" hidden="false" customHeight="true" outlineLevel="0" collapsed="false">
      <c r="A7" s="36" t="s">
        <v>98</v>
      </c>
      <c r="B7" s="37" t="n">
        <f aca="false">Assumptions!B30</f>
        <v>3432000</v>
      </c>
      <c r="C7" s="38" t="n">
        <f aca="false">IF(Assumptions!B10&gt;0,B7/Assumptions!B10,0)</f>
        <v>114400</v>
      </c>
      <c r="D7" s="39" t="n">
        <f aca="false">IF(Assumptions!B9&gt;0,B7/Assumptions!B9,0)</f>
        <v>0.791201799108054</v>
      </c>
      <c r="E7" s="26" t="n">
        <f aca="false">IF(Assumptions!B35&gt;0,B7/Assumptions!B35,0)</f>
        <v>0.14549339302293</v>
      </c>
      <c r="F7" s="21" t="n">
        <v>1</v>
      </c>
      <c r="G7" s="21" t="n">
        <v>20</v>
      </c>
      <c r="H7" s="28" t="n">
        <f aca="false">G7-F7+1</f>
        <v>20</v>
      </c>
      <c r="I7" s="40" t="s">
        <v>254</v>
      </c>
    </row>
    <row r="8" customFormat="false" ht="15.75" hidden="false" customHeight="true" outlineLevel="0" collapsed="false">
      <c r="A8" s="36" t="s">
        <v>255</v>
      </c>
      <c r="B8" s="37" t="n">
        <f aca="false">Assumptions!B31</f>
        <v>12527000</v>
      </c>
      <c r="C8" s="38" t="n">
        <f aca="false">IF(Assumptions!B10&gt;0,B8/Assumptions!B10,0)</f>
        <v>417566.666666667</v>
      </c>
      <c r="D8" s="39" t="n">
        <f aca="false">IF(Assumptions!B9&gt;0,B8/Assumptions!B9,0)</f>
        <v>2.88793267407535</v>
      </c>
      <c r="E8" s="26" t="n">
        <f aca="false">IF(Assumptions!B35&gt;0,B8/Assumptions!B35,0)</f>
        <v>0.531059363169653</v>
      </c>
      <c r="F8" s="21" t="n">
        <v>1</v>
      </c>
      <c r="G8" s="21" t="n">
        <v>24</v>
      </c>
      <c r="H8" s="28" t="n">
        <f aca="false">G8-F8+1</f>
        <v>24</v>
      </c>
      <c r="I8" s="40" t="s">
        <v>256</v>
      </c>
    </row>
    <row r="9" customFormat="false" ht="15.75" hidden="false" customHeight="true" outlineLevel="0" collapsed="false">
      <c r="A9" s="36" t="s">
        <v>150</v>
      </c>
      <c r="B9" s="37" t="n">
        <f aca="false">Assumptions!B32</f>
        <v>5098000</v>
      </c>
      <c r="C9" s="38" t="n">
        <f aca="false">IF(Assumptions!B10&gt;0,B9/Assumptions!B10,0)</f>
        <v>169933.333333333</v>
      </c>
      <c r="D9" s="39" t="n">
        <f aca="false">IF(Assumptions!B9&gt;0,B9/Assumptions!B9,0)</f>
        <v>1.17527586592449</v>
      </c>
      <c r="E9" s="26" t="n">
        <f aca="false">IF(Assumptions!B35&gt;0,B9/Assumptions!B35,0)</f>
        <v>0.216120430545134</v>
      </c>
      <c r="F9" s="21" t="n">
        <v>6</v>
      </c>
      <c r="G9" s="21" t="n">
        <v>30</v>
      </c>
      <c r="H9" s="28" t="n">
        <f aca="false">G9-F9+1</f>
        <v>25</v>
      </c>
      <c r="I9" s="40" t="s">
        <v>257</v>
      </c>
    </row>
    <row r="10" customFormat="false" ht="15.75" hidden="false" customHeight="true" outlineLevel="0" collapsed="false">
      <c r="A10" s="36" t="s">
        <v>152</v>
      </c>
      <c r="B10" s="37" t="n">
        <f aca="false">Assumptions!B33</f>
        <v>262000</v>
      </c>
      <c r="C10" s="38" t="n">
        <f aca="false">IF(Assumptions!B10&gt;0,B10/Assumptions!B10,0)</f>
        <v>8733.33333333333</v>
      </c>
      <c r="D10" s="39" t="n">
        <f aca="false">IF(Assumptions!B9&gt;0,B10/Assumptions!B9,0)</f>
        <v>0.0604006035449621</v>
      </c>
      <c r="E10" s="26" t="n">
        <f aca="false">IF(Assumptions!B35&gt;0,B10/Assumptions!B35,0)</f>
        <v>0.0111070131037319</v>
      </c>
      <c r="F10" s="21" t="n">
        <v>1</v>
      </c>
      <c r="G10" s="21" t="n">
        <v>48</v>
      </c>
      <c r="H10" s="28" t="n">
        <f aca="false">G10-F10+1</f>
        <v>48</v>
      </c>
      <c r="I10" s="40" t="s">
        <v>258</v>
      </c>
    </row>
    <row r="11" customFormat="false" ht="15.75" hidden="false" customHeight="true" outlineLevel="0" collapsed="false">
      <c r="A11" s="36" t="s">
        <v>259</v>
      </c>
      <c r="B11" s="37" t="n">
        <f aca="false">Assumptions!B34</f>
        <v>276700</v>
      </c>
      <c r="C11" s="38" t="n">
        <f aca="false">IF(Assumptions!B10&gt;0,B11/Assumptions!B10,0)</f>
        <v>9223.33333333333</v>
      </c>
      <c r="D11" s="39" t="n">
        <f aca="false">IF(Assumptions!B9&gt;0,B11/Assumptions!B9,0)</f>
        <v>0.0637894923698131</v>
      </c>
      <c r="E11" s="26" t="n">
        <f aca="false">IF(Assumptions!B35&gt;0,B11/Assumptions!B35,0)</f>
        <v>0.0117301928465748</v>
      </c>
      <c r="F11" s="21" t="n">
        <v>1</v>
      </c>
      <c r="G11" s="21" t="n">
        <v>50</v>
      </c>
      <c r="H11" s="28" t="n">
        <f aca="false">G11-F11+1</f>
        <v>50</v>
      </c>
      <c r="I11" s="40" t="s">
        <v>260</v>
      </c>
    </row>
    <row r="12" customFormat="false" ht="15.75" hidden="false" customHeight="true" outlineLevel="0" collapsed="false">
      <c r="A12" s="27" t="s">
        <v>261</v>
      </c>
      <c r="B12" s="27" t="n">
        <f aca="false">Assumptions!B35</f>
        <v>23588700</v>
      </c>
      <c r="C12" s="38" t="n">
        <f aca="false">IF(Assumptions!B10&gt;0,B12/Assumptions!B10,0)</f>
        <v>786290</v>
      </c>
      <c r="D12" s="39" t="n">
        <f aca="false">IF(Assumptions!B9&gt;0,B12/Assumptions!B9,0)</f>
        <v>5.43805998794293</v>
      </c>
      <c r="E12" s="26" t="n">
        <f aca="false">1</f>
        <v>1</v>
      </c>
    </row>
    <row r="14" customFormat="false" ht="18" hidden="false" customHeight="true" outlineLevel="0" collapsed="false">
      <c r="A14" s="34" t="s">
        <v>262</v>
      </c>
      <c r="B14" s="34"/>
      <c r="C14" s="34"/>
      <c r="D14" s="34"/>
      <c r="E14" s="34"/>
      <c r="F14" s="34"/>
      <c r="G14" s="34"/>
      <c r="H14" s="34"/>
      <c r="I14" s="34"/>
    </row>
    <row r="15" customFormat="false" ht="15.75" hidden="false" customHeight="true" outlineLevel="0" collapsed="false">
      <c r="A15" s="23" t="s">
        <v>263</v>
      </c>
      <c r="B15" s="23" t="s">
        <v>251</v>
      </c>
      <c r="C15" s="23" t="s">
        <v>130</v>
      </c>
      <c r="D15" s="23" t="s">
        <v>131</v>
      </c>
      <c r="E15" s="23" t="s">
        <v>264</v>
      </c>
      <c r="F15" s="23" t="s">
        <v>265</v>
      </c>
      <c r="G15" s="23"/>
      <c r="H15" s="23"/>
      <c r="I15" s="23" t="s">
        <v>135</v>
      </c>
    </row>
    <row r="16" customFormat="false" ht="15.75" hidden="false" customHeight="true" outlineLevel="0" collapsed="false">
      <c r="A16" s="36" t="s">
        <v>266</v>
      </c>
      <c r="B16" s="37" t="n">
        <f aca="false">Assumptions!B38</f>
        <v>1320000</v>
      </c>
      <c r="C16" s="38" t="n">
        <f aca="false">IF(Assumptions!B10&gt;0,B16/Assumptions!B10,0)</f>
        <v>44000</v>
      </c>
      <c r="D16" s="39" t="n">
        <f aca="false">IF(Assumptions!B9&gt;0,B16/Assumptions!B9,0)</f>
        <v>0.304308384272328</v>
      </c>
      <c r="E16" s="26" t="n">
        <f aca="false">IF(SUM(B16:B21)&gt;0,B16/SUM(B16:B21),0)</f>
        <v>0.736196319018405</v>
      </c>
      <c r="I16" s="40" t="s">
        <v>267</v>
      </c>
    </row>
    <row r="17" customFormat="false" ht="15.75" hidden="false" customHeight="true" outlineLevel="0" collapsed="false">
      <c r="A17" s="36" t="s">
        <v>268</v>
      </c>
      <c r="B17" s="37" t="n">
        <f aca="false">Assumptions!B39</f>
        <v>83000</v>
      </c>
      <c r="C17" s="38" t="n">
        <f aca="false">IF(Assumptions!B10&gt;0,B17/Assumptions!B10,0)</f>
        <v>2766.66666666667</v>
      </c>
      <c r="D17" s="39" t="n">
        <f aca="false">IF(Assumptions!B9&gt;0,B17/Assumptions!B9,0)</f>
        <v>0.0191345423443964</v>
      </c>
      <c r="E17" s="26" t="n">
        <f aca="false">IF(SUM(B16:B22)&gt;0,B17/SUM(B16:B22),0)</f>
        <v>0.0231455660903514</v>
      </c>
      <c r="I17" s="40" t="s">
        <v>269</v>
      </c>
    </row>
    <row r="18" customFormat="false" ht="15.75" hidden="false" customHeight="true" outlineLevel="0" collapsed="false">
      <c r="A18" s="36" t="s">
        <v>270</v>
      </c>
      <c r="B18" s="25" t="n">
        <v>0</v>
      </c>
      <c r="C18" s="38" t="n">
        <f aca="false">IF(Assumptions!B10&gt;0,B18/Assumptions!B10,0)</f>
        <v>0</v>
      </c>
      <c r="D18" s="39" t="n">
        <f aca="false">IF(Assumptions!B9&gt;0,B18/Assumptions!B9,0)</f>
        <v>0</v>
      </c>
      <c r="E18" s="26" t="n">
        <f aca="false">IF(SUM(B16:B23)&gt;0,B18/SUM(B16:B23),0)</f>
        <v>0</v>
      </c>
      <c r="I18" s="40" t="s">
        <v>271</v>
      </c>
    </row>
    <row r="19" customFormat="false" ht="15.75" hidden="false" customHeight="true" outlineLevel="0" collapsed="false">
      <c r="A19" s="36" t="s">
        <v>272</v>
      </c>
      <c r="B19" s="37" t="n">
        <f aca="false">Assumptions!B44</f>
        <v>240000</v>
      </c>
      <c r="C19" s="38" t="n">
        <f aca="false">IF(Assumptions!B10&gt;0,B19/Assumptions!B10,0)</f>
        <v>8000</v>
      </c>
      <c r="D19" s="39" t="n">
        <f aca="false">IF(Assumptions!B9&gt;0,B19/Assumptions!B9,0)</f>
        <v>0.0553287971404233</v>
      </c>
      <c r="E19" s="26" t="n">
        <f aca="false">IF(SUM(B16:B24)&gt;0,B19/SUM(B16:B24),0)</f>
        <v>0.00828508994500772</v>
      </c>
      <c r="I19" s="40" t="s">
        <v>273</v>
      </c>
    </row>
    <row r="20" customFormat="false" ht="15.75" hidden="false" customHeight="true" outlineLevel="0" collapsed="false">
      <c r="A20" s="36" t="s">
        <v>274</v>
      </c>
      <c r="B20" s="37" t="n">
        <f aca="false">Assumptions!B45</f>
        <v>150000</v>
      </c>
      <c r="C20" s="38" t="n">
        <f aca="false">IF(Assumptions!B10&gt;0,B20/Assumptions!B10,0)</f>
        <v>5000</v>
      </c>
      <c r="D20" s="39" t="n">
        <f aca="false">IF(Assumptions!B9&gt;0,B20/Assumptions!B9,0)</f>
        <v>0.0345804982127646</v>
      </c>
      <c r="E20" s="26" t="n">
        <f aca="false">IF(SUM(B16:B25)&gt;0,B20/SUM(B16:B25),0)</f>
        <v>0.00517818121562982</v>
      </c>
      <c r="I20" s="40" t="s">
        <v>275</v>
      </c>
    </row>
    <row r="21" customFormat="false" ht="15.75" hidden="false" customHeight="true" outlineLevel="0" collapsed="false">
      <c r="A21" s="36" t="s">
        <v>276</v>
      </c>
      <c r="B21" s="25" t="n">
        <v>0</v>
      </c>
      <c r="C21" s="38" t="n">
        <f aca="false">IF(Assumptions!B10&gt;0,B21/Assumptions!B10,0)</f>
        <v>0</v>
      </c>
      <c r="D21" s="39" t="n">
        <f aca="false">IF(Assumptions!B9&gt;0,B21/Assumptions!B9,0)</f>
        <v>0</v>
      </c>
      <c r="E21" s="26" t="n">
        <f aca="false">IF(SUM(B16:B26)&gt;0,B21/SUM(B16:B26),0)</f>
        <v>0</v>
      </c>
      <c r="I21" s="40" t="s">
        <v>277</v>
      </c>
    </row>
    <row r="22" customFormat="false" ht="15.75" hidden="false" customHeight="true" outlineLevel="0" collapsed="false">
      <c r="A22" s="27" t="s">
        <v>165</v>
      </c>
      <c r="B22" s="27" t="n">
        <f aca="false">SUM(B16:B21)</f>
        <v>1793000</v>
      </c>
      <c r="C22" s="38" t="n">
        <f aca="false">IF(Assumptions!B10&gt;0,B22/Assumptions!B10,0)</f>
        <v>59766.6666666667</v>
      </c>
      <c r="D22" s="39" t="n">
        <f aca="false">IF(Assumptions!B9&gt;0,B22/Assumptions!B9,0)</f>
        <v>0.413352221969913</v>
      </c>
      <c r="E22" s="26" t="n">
        <f aca="false">1</f>
        <v>1</v>
      </c>
    </row>
    <row r="24" customFormat="false" ht="15.75" hidden="false" customHeight="true" outlineLevel="0" collapsed="false">
      <c r="A24" s="41" t="s">
        <v>278</v>
      </c>
      <c r="B24" s="41" t="n">
        <f aca="false">B12+B22</f>
        <v>25381700</v>
      </c>
      <c r="C24" s="38" t="n">
        <f aca="false">IF(Assumptions!B10&gt;0,B24/Assumptions!B10,0)</f>
        <v>846056.666666667</v>
      </c>
      <c r="D24" s="39" t="n">
        <f aca="false">IF(Assumptions!B9&gt;0,B24/Assumptions!B9,0)</f>
        <v>5.85141220991285</v>
      </c>
    </row>
    <row r="26" customFormat="false" ht="18" hidden="false" customHeight="true" outlineLevel="0" collapsed="false">
      <c r="A26" s="34" t="s">
        <v>279</v>
      </c>
      <c r="B26" s="34"/>
      <c r="C26" s="34"/>
      <c r="D26" s="34"/>
      <c r="E26" s="34"/>
    </row>
    <row r="27" customFormat="false" ht="15.75" hidden="false" customHeight="true" outlineLevel="0" collapsed="false">
      <c r="A27" s="23" t="s">
        <v>280</v>
      </c>
      <c r="B27" s="23" t="s">
        <v>251</v>
      </c>
      <c r="C27" s="23" t="s">
        <v>281</v>
      </c>
      <c r="D27" s="23" t="s">
        <v>282</v>
      </c>
      <c r="E27" s="23" t="s">
        <v>216</v>
      </c>
    </row>
    <row r="28" customFormat="false" ht="15.75" hidden="false" customHeight="true" outlineLevel="0" collapsed="false">
      <c r="A28" s="36" t="s">
        <v>283</v>
      </c>
      <c r="B28" s="37" t="n">
        <f aca="false">Assumptions!B29</f>
        <v>1993000</v>
      </c>
      <c r="C28" s="21" t="n">
        <v>12000</v>
      </c>
      <c r="D28" s="39" t="n">
        <f aca="false">IF(C28&gt;0,B28/C28,0)</f>
        <v>166.083333333333</v>
      </c>
      <c r="E28" s="38" t="n">
        <f aca="false">IF(Assumptions!B7&gt;0,B28/Assumptions!B7,0)</f>
        <v>14654.4117647059</v>
      </c>
    </row>
    <row r="29" customFormat="false" ht="15.75" hidden="false" customHeight="true" outlineLevel="0" collapsed="false">
      <c r="A29" s="36" t="s">
        <v>284</v>
      </c>
      <c r="B29" s="37" t="n">
        <f aca="false">Assumptions!B30</f>
        <v>3432000</v>
      </c>
      <c r="C29" s="21" t="n">
        <v>9000</v>
      </c>
      <c r="D29" s="39" t="n">
        <f aca="false">IF(C29&gt;0,B29/C29,0)</f>
        <v>381.333333333333</v>
      </c>
      <c r="E29" s="38" t="n">
        <f aca="false">IF(Assumptions!B7&gt;0,B29/Assumptions!B7,0)</f>
        <v>25235.2941176471</v>
      </c>
    </row>
    <row r="30" customFormat="false" ht="15.75" hidden="false" customHeight="true" outlineLevel="0" collapsed="false">
      <c r="A30" s="36" t="s">
        <v>285</v>
      </c>
      <c r="B30" s="37" t="n">
        <f aca="false">Assumptions!B31</f>
        <v>12527000</v>
      </c>
      <c r="C30" s="21" t="n">
        <v>8000</v>
      </c>
      <c r="D30" s="39" t="n">
        <f aca="false">IF(C30&gt;0,B30/C30,0)</f>
        <v>1565.875</v>
      </c>
      <c r="E30" s="38" t="n">
        <f aca="false">IF(Assumptions!B7&gt;0,B30/Assumptions!B7,0)</f>
        <v>92110.2941176471</v>
      </c>
    </row>
    <row r="31" customFormat="false" ht="15.75" hidden="false" customHeight="true" outlineLevel="0" collapsed="false">
      <c r="A31" s="36" t="s">
        <v>286</v>
      </c>
      <c r="B31" s="37" t="n">
        <f aca="false">Assumptions!B32</f>
        <v>5098000</v>
      </c>
      <c r="C31" s="21" t="n">
        <v>6000</v>
      </c>
      <c r="D31" s="39" t="n">
        <f aca="false">IF(C31&gt;0,B31/C31,0)</f>
        <v>849.666666666667</v>
      </c>
      <c r="E31" s="38" t="n">
        <f aca="false">IF(Assumptions!B7&gt;0,B31/Assumptions!B7,0)</f>
        <v>37485.2941176471</v>
      </c>
    </row>
  </sheetData>
  <mergeCells count="5">
    <mergeCell ref="A1:I1"/>
    <mergeCell ref="A2:I2"/>
    <mergeCell ref="A4:I4"/>
    <mergeCell ref="A14:I14"/>
    <mergeCell ref="A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6"/>
    <col collapsed="false" customWidth="true" hidden="false" outlineLevel="0" max="5" min="5" style="1" width="34"/>
    <col collapsed="false" customWidth="true" hidden="false" outlineLevel="0" max="6" min="6" style="1" width="16"/>
    <col collapsed="false" customWidth="true" hidden="false" outlineLevel="0" max="7" min="7" style="1" width="12"/>
  </cols>
  <sheetData>
    <row r="1" customFormat="false" ht="30" hidden="false" customHeight="true" outlineLevel="0" collapsed="false">
      <c r="A1" s="32" t="s">
        <v>287</v>
      </c>
      <c r="B1" s="32"/>
      <c r="C1" s="32"/>
      <c r="D1" s="32"/>
      <c r="E1" s="32"/>
      <c r="F1" s="32"/>
      <c r="G1" s="32"/>
      <c r="H1" s="32"/>
      <c r="I1" s="32"/>
    </row>
    <row r="2" customFormat="false" ht="15.75" hidden="false" customHeight="true" outlineLevel="0" collapsed="false">
      <c r="A2" s="33" t="s">
        <v>288</v>
      </c>
      <c r="B2" s="33"/>
      <c r="C2" s="33"/>
      <c r="D2" s="33"/>
      <c r="E2" s="33"/>
      <c r="F2" s="33"/>
      <c r="G2" s="33"/>
      <c r="H2" s="33"/>
      <c r="I2" s="33"/>
    </row>
    <row r="4" customFormat="false" ht="18" hidden="false" customHeight="true" outlineLevel="0" collapsed="false">
      <c r="A4" s="35" t="s">
        <v>289</v>
      </c>
      <c r="B4" s="35"/>
      <c r="C4" s="35"/>
      <c r="E4" s="35" t="s">
        <v>290</v>
      </c>
      <c r="F4" s="35"/>
      <c r="G4" s="35"/>
    </row>
    <row r="5" customFormat="false" ht="15.75" hidden="false" customHeight="true" outlineLevel="0" collapsed="false">
      <c r="A5" s="23" t="s">
        <v>291</v>
      </c>
      <c r="B5" s="23" t="s">
        <v>292</v>
      </c>
      <c r="C5" s="23" t="s">
        <v>132</v>
      </c>
      <c r="E5" s="23" t="s">
        <v>293</v>
      </c>
      <c r="F5" s="23" t="s">
        <v>292</v>
      </c>
      <c r="G5" s="23" t="s">
        <v>132</v>
      </c>
    </row>
    <row r="6" customFormat="false" ht="18" hidden="false" customHeight="true" outlineLevel="0" collapsed="false">
      <c r="A6" s="34" t="s">
        <v>294</v>
      </c>
      <c r="B6" s="34"/>
      <c r="C6" s="34"/>
      <c r="E6" s="34" t="s">
        <v>295</v>
      </c>
      <c r="F6" s="34"/>
      <c r="G6" s="34"/>
    </row>
    <row r="7" customFormat="false" ht="15.75" hidden="false" customHeight="true" outlineLevel="0" collapsed="false">
      <c r="A7" s="36" t="s">
        <v>296</v>
      </c>
      <c r="B7" s="37" t="n">
        <f aca="false">Assumptions!B56</f>
        <v>11387289</v>
      </c>
      <c r="C7" s="26" t="n">
        <f aca="false">IF(B30&gt;0,B7/B30,0)</f>
        <v>0.299201328507417</v>
      </c>
      <c r="E7" s="36" t="s">
        <v>297</v>
      </c>
      <c r="F7" s="37" t="n">
        <f aca="false">Assumptions!B56</f>
        <v>11387289</v>
      </c>
      <c r="G7" s="40" t="s">
        <v>298</v>
      </c>
    </row>
    <row r="8" customFormat="false" ht="15.75" hidden="false" customHeight="true" outlineLevel="0" collapsed="false">
      <c r="A8" s="34" t="s">
        <v>96</v>
      </c>
      <c r="B8" s="34"/>
      <c r="C8" s="34"/>
      <c r="E8" s="36" t="s">
        <v>299</v>
      </c>
      <c r="F8" s="25" t="n">
        <v>0</v>
      </c>
      <c r="G8" s="40" t="s">
        <v>300</v>
      </c>
    </row>
    <row r="9" customFormat="false" ht="18" hidden="false" customHeight="true" outlineLevel="0" collapsed="false">
      <c r="A9" s="36" t="s">
        <v>301</v>
      </c>
      <c r="B9" s="37" t="n">
        <f aca="false">Assumptions!B29</f>
        <v>1993000</v>
      </c>
      <c r="C9" s="26" t="n">
        <f aca="false">IF(B30&gt;0,B9/B30,0)</f>
        <v>0.0523661292617831</v>
      </c>
      <c r="E9" s="27" t="s">
        <v>302</v>
      </c>
      <c r="F9" s="27" t="n">
        <f aca="false">Assumptions!B56</f>
        <v>11387289</v>
      </c>
    </row>
    <row r="10" customFormat="false" ht="18" hidden="false" customHeight="true" outlineLevel="0" collapsed="false">
      <c r="A10" s="36" t="s">
        <v>303</v>
      </c>
      <c r="B10" s="37" t="n">
        <f aca="false">Assumptions!B30</f>
        <v>3432000</v>
      </c>
      <c r="C10" s="26" t="n">
        <f aca="false">IF(B30&gt;0,B10/B30,0)</f>
        <v>0.0901758934402608</v>
      </c>
      <c r="E10" s="34" t="s">
        <v>304</v>
      </c>
      <c r="F10" s="34"/>
      <c r="G10" s="34"/>
    </row>
    <row r="11" customFormat="false" ht="15.75" hidden="false" customHeight="true" outlineLevel="0" collapsed="false">
      <c r="A11" s="36" t="s">
        <v>305</v>
      </c>
      <c r="B11" s="37" t="n">
        <f aca="false">Assumptions!B31</f>
        <v>12527000</v>
      </c>
      <c r="C11" s="26" t="n">
        <f aca="false">IF(B30&gt;0,B11/B30,0)</f>
        <v>0.329147266062397</v>
      </c>
      <c r="E11" s="36" t="s">
        <v>306</v>
      </c>
      <c r="F11" s="37" t="n">
        <f aca="false">Assumptions!B43*0.5</f>
        <v>11700000</v>
      </c>
      <c r="G11" s="40" t="s">
        <v>307</v>
      </c>
    </row>
    <row r="12" customFormat="false" ht="15.75" hidden="false" customHeight="true" outlineLevel="0" collapsed="false">
      <c r="A12" s="36" t="s">
        <v>308</v>
      </c>
      <c r="B12" s="37" t="n">
        <f aca="false">Assumptions!B32</f>
        <v>5098000</v>
      </c>
      <c r="C12" s="26" t="n">
        <f aca="false">IF(B30&gt;0,B12/B30,0)</f>
        <v>0.133950088799082</v>
      </c>
      <c r="E12" s="36" t="s">
        <v>309</v>
      </c>
      <c r="F12" s="37" t="n">
        <f aca="false">Assumptions!B43*0.5</f>
        <v>11700000</v>
      </c>
      <c r="G12" s="40" t="s">
        <v>310</v>
      </c>
    </row>
    <row r="13" customFormat="false" ht="18" hidden="false" customHeight="true" outlineLevel="0" collapsed="false">
      <c r="A13" s="36" t="s">
        <v>311</v>
      </c>
      <c r="B13" s="37" t="n">
        <f aca="false">Assumptions!B33</f>
        <v>262000</v>
      </c>
      <c r="C13" s="26" t="n">
        <f aca="false">IF(B30&gt;0,B13/B30,0)</f>
        <v>0.00688405713326</v>
      </c>
      <c r="E13" s="27" t="s">
        <v>312</v>
      </c>
      <c r="F13" s="27" t="n">
        <f aca="false">Assumptions!B43</f>
        <v>23400000</v>
      </c>
      <c r="G13" s="40" t="s">
        <v>313</v>
      </c>
    </row>
    <row r="14" customFormat="false" ht="18" hidden="false" customHeight="true" outlineLevel="0" collapsed="false">
      <c r="A14" s="36" t="s">
        <v>314</v>
      </c>
      <c r="B14" s="37" t="n">
        <f aca="false">Assumptions!B34</f>
        <v>276700</v>
      </c>
      <c r="C14" s="26" t="n">
        <f aca="false">IF(B30&gt;0,B14/B30,0)</f>
        <v>0.0072703000334849</v>
      </c>
      <c r="E14" s="34" t="s">
        <v>112</v>
      </c>
      <c r="F14" s="34"/>
      <c r="G14" s="34"/>
    </row>
    <row r="15" customFormat="false" ht="15.75" hidden="false" customHeight="true" outlineLevel="0" collapsed="false">
      <c r="A15" s="27" t="s">
        <v>315</v>
      </c>
      <c r="B15" s="27" t="n">
        <f aca="false">Assumptions!B35</f>
        <v>23588700</v>
      </c>
      <c r="C15" s="26" t="n">
        <f aca="false">IF(B44&gt;0,B15/B44,0)</f>
        <v>0</v>
      </c>
      <c r="E15" s="36" t="s">
        <v>316</v>
      </c>
      <c r="F15" s="37" t="n">
        <f aca="false">Assumptions!B52</f>
        <v>671535</v>
      </c>
      <c r="G15" s="40" t="s">
        <v>317</v>
      </c>
    </row>
    <row r="16" customFormat="false" ht="15.75" hidden="false" customHeight="true" outlineLevel="0" collapsed="false">
      <c r="A16" s="34" t="s">
        <v>104</v>
      </c>
      <c r="B16" s="34"/>
      <c r="C16" s="34"/>
      <c r="E16" s="36" t="s">
        <v>318</v>
      </c>
      <c r="F16" s="37" t="n">
        <f aca="false">Assumptions!E17*(1-Assumptions!B60)</f>
        <v>37814819.52</v>
      </c>
      <c r="G16" s="40" t="s">
        <v>319</v>
      </c>
    </row>
    <row r="17" customFormat="false" ht="18" hidden="false" customHeight="true" outlineLevel="0" collapsed="false">
      <c r="A17" s="36" t="s">
        <v>320</v>
      </c>
      <c r="B17" s="37" t="n">
        <f aca="false">Assumptions!B38</f>
        <v>1320000</v>
      </c>
      <c r="C17" s="26" t="n">
        <f aca="false">IF(B30&gt;0,B17/B30,0)</f>
        <v>0.0346830359385618</v>
      </c>
      <c r="E17" s="27" t="s">
        <v>321</v>
      </c>
      <c r="F17" s="27" t="n">
        <f aca="false">Assumptions!E17*(1-Assumptions!B60)</f>
        <v>37814819.52</v>
      </c>
    </row>
    <row r="18" customFormat="false" ht="18" hidden="false" customHeight="true" outlineLevel="0" collapsed="false">
      <c r="A18" s="36" t="s">
        <v>322</v>
      </c>
      <c r="B18" s="37" t="n">
        <f aca="false">Assumptions!B39</f>
        <v>83000</v>
      </c>
      <c r="C18" s="26" t="n">
        <f aca="false">IF(B30&gt;0,B18/B30,0)</f>
        <v>0.00218082725977321</v>
      </c>
      <c r="E18" s="34" t="s">
        <v>323</v>
      </c>
      <c r="F18" s="34"/>
      <c r="G18" s="34"/>
    </row>
    <row r="19" customFormat="false" ht="15.75" hidden="false" customHeight="true" outlineLevel="0" collapsed="false">
      <c r="A19" s="27" t="s">
        <v>324</v>
      </c>
      <c r="B19" s="27" t="n">
        <f aca="false">Assumptions!B40</f>
        <v>1403000</v>
      </c>
      <c r="C19" s="26" t="n">
        <f aca="false">IF(B48&gt;0,B19/B48,0)</f>
        <v>0</v>
      </c>
      <c r="E19" s="36" t="s">
        <v>325</v>
      </c>
      <c r="F19" s="37" t="n">
        <f aca="false">Assumptions!E17*(1-Assumptions!B60)</f>
        <v>37814819.52</v>
      </c>
    </row>
    <row r="20" customFormat="false" ht="15.75" hidden="false" customHeight="true" outlineLevel="0" collapsed="false">
      <c r="A20" s="34" t="s">
        <v>326</v>
      </c>
      <c r="B20" s="34"/>
      <c r="C20" s="34"/>
      <c r="E20" s="36" t="s">
        <v>327</v>
      </c>
      <c r="F20" s="37" t="n">
        <f aca="false">Assumptions!B43</f>
        <v>23400000</v>
      </c>
      <c r="G20" s="40" t="s">
        <v>328</v>
      </c>
    </row>
    <row r="21" customFormat="false" ht="18" hidden="false" customHeight="true" outlineLevel="0" collapsed="false">
      <c r="A21" s="36" t="s">
        <v>329</v>
      </c>
      <c r="B21" s="37" t="n">
        <f aca="false">'Dev Budget'!B19</f>
        <v>1249585</v>
      </c>
      <c r="C21" s="26" t="n">
        <f aca="false">IF(B30&gt;0,B21/B30,0)</f>
        <v>0.0328328798964302</v>
      </c>
      <c r="E21" s="27" t="s">
        <v>330</v>
      </c>
      <c r="F21" s="27" t="n">
        <f aca="false">Assumptions!E17*(1-Assumptions!B60)+Assumptions!B43</f>
        <v>61214819.52</v>
      </c>
    </row>
    <row r="22" customFormat="false" ht="18" hidden="false" customHeight="true" outlineLevel="0" collapsed="false">
      <c r="A22" s="34" t="s">
        <v>331</v>
      </c>
      <c r="B22" s="34"/>
      <c r="C22" s="34"/>
    </row>
    <row r="23" customFormat="false" ht="15.75" hidden="false" customHeight="true" outlineLevel="0" collapsed="false">
      <c r="A23" s="36" t="s">
        <v>332</v>
      </c>
      <c r="B23" s="37" t="n">
        <f aca="false">Assumptions!B49</f>
        <v>6700</v>
      </c>
      <c r="C23" s="26" t="n">
        <f aca="false">IF(B30&gt;0,B23/B30,0)</f>
        <v>0.000176042682415428</v>
      </c>
    </row>
    <row r="24" customFormat="false" ht="15.75" hidden="false" customHeight="true" outlineLevel="0" collapsed="false">
      <c r="A24" s="36" t="s">
        <v>333</v>
      </c>
      <c r="B24" s="37" t="n">
        <f aca="false">Assumptions!B50</f>
        <v>6700</v>
      </c>
      <c r="C24" s="26" t="n">
        <f aca="false">IF(B30&gt;0,B24/B30,0)</f>
        <v>0.000176042682415428</v>
      </c>
    </row>
    <row r="25" customFormat="false" ht="15.75" hidden="false" customHeight="true" outlineLevel="0" collapsed="false">
      <c r="A25" s="36" t="s">
        <v>334</v>
      </c>
      <c r="B25" s="37" t="n">
        <f aca="false">Assumptions!B53</f>
        <v>25800</v>
      </c>
      <c r="C25" s="26" t="n">
        <f aca="false">IF(B30&gt;0,B25/B30,0)</f>
        <v>0.000677895702435527</v>
      </c>
    </row>
    <row r="26" customFormat="false" ht="15.75" hidden="false" customHeight="true" outlineLevel="0" collapsed="false">
      <c r="A26" s="36" t="s">
        <v>335</v>
      </c>
      <c r="B26" s="37" t="n">
        <f aca="false">Assumptions!B44</f>
        <v>240000</v>
      </c>
      <c r="C26" s="26" t="n">
        <f aca="false">IF(B30&gt;0,B26/B30,0)</f>
        <v>0.00630600653428397</v>
      </c>
    </row>
    <row r="27" customFormat="false" ht="15.75" hidden="false" customHeight="true" outlineLevel="0" collapsed="false">
      <c r="A27" s="36" t="s">
        <v>336</v>
      </c>
      <c r="B27" s="37" t="n">
        <f aca="false">Assumptions!B45</f>
        <v>150000</v>
      </c>
      <c r="C27" s="26" t="n">
        <f aca="false">IF(B30&gt;0,B27/B30,0)</f>
        <v>0.00394125408392748</v>
      </c>
    </row>
    <row r="28" customFormat="false" ht="15.75" hidden="false" customHeight="true" outlineLevel="0" collapsed="false">
      <c r="A28" s="36" t="s">
        <v>337</v>
      </c>
      <c r="B28" s="37" t="n">
        <f aca="false">Assumptions!B51</f>
        <v>1178</v>
      </c>
      <c r="C28" s="26" t="n">
        <f aca="false">IF(B30&gt;0,B28/B30,0)</f>
        <v>3.09519820724438E-005</v>
      </c>
    </row>
    <row r="29" customFormat="false" ht="15.75" hidden="false" customHeight="true" outlineLevel="0" collapsed="false">
      <c r="A29" s="27" t="s">
        <v>338</v>
      </c>
      <c r="B29" s="27" t="n">
        <f aca="false">'Dev Budget'!B27</f>
        <v>430378</v>
      </c>
      <c r="C29" s="26" t="n">
        <f aca="false">IF(B58&gt;0,B29/B58,0)</f>
        <v>0</v>
      </c>
    </row>
    <row r="30" customFormat="false" ht="15.75" hidden="false" customHeight="true" outlineLevel="0" collapsed="false">
      <c r="A30" s="41" t="s">
        <v>339</v>
      </c>
      <c r="B30" s="41" t="n">
        <f aca="false">'Dev Budget'!B30</f>
        <v>38058952</v>
      </c>
      <c r="C30" s="26" t="n">
        <f aca="false">1</f>
        <v>1</v>
      </c>
    </row>
    <row r="33" customFormat="false" ht="18" hidden="false" customHeight="true" outlineLevel="0" collapsed="false">
      <c r="A33" s="34" t="s">
        <v>340</v>
      </c>
      <c r="B33" s="34"/>
      <c r="C33" s="34"/>
      <c r="D33" s="34"/>
      <c r="E33" s="34"/>
      <c r="F33" s="34"/>
      <c r="G33" s="34"/>
      <c r="H33" s="34"/>
      <c r="I33" s="34"/>
    </row>
    <row r="34" customFormat="false" ht="15.75" hidden="false" customHeight="true" outlineLevel="0" collapsed="false">
      <c r="A34" s="36" t="s">
        <v>341</v>
      </c>
      <c r="B34" s="37" t="n">
        <f aca="false">'Dev Budget'!B30</f>
        <v>38058952</v>
      </c>
    </row>
    <row r="35" customFormat="false" ht="15.75" hidden="false" customHeight="true" outlineLevel="0" collapsed="false">
      <c r="A35" s="36" t="s">
        <v>342</v>
      </c>
      <c r="B35" s="37" t="n">
        <f aca="false">Assumptions!B43+Assumptions!B56</f>
        <v>34787289</v>
      </c>
    </row>
    <row r="36" customFormat="false" ht="15.75" hidden="false" customHeight="true" outlineLevel="0" collapsed="false">
      <c r="A36" s="36" t="s">
        <v>343</v>
      </c>
      <c r="B36" s="37" t="n">
        <f aca="false">Assumptions!E17*(1-Assumptions!B60)</f>
        <v>37814819.52</v>
      </c>
    </row>
    <row r="37" customFormat="false" ht="15.75" hidden="false" customHeight="true" outlineLevel="0" collapsed="false">
      <c r="A37" s="36" t="s">
        <v>344</v>
      </c>
      <c r="B37" s="37" t="n">
        <f aca="false">Assumptions!B43+Assumptions!B56+Assumptions!E17*(1-Assumptions!B60)</f>
        <v>72602108.52</v>
      </c>
    </row>
    <row r="38" customFormat="false" ht="15.75" hidden="false" customHeight="true" outlineLevel="0" collapsed="false">
      <c r="A38" s="36" t="s">
        <v>345</v>
      </c>
      <c r="B38" s="37" t="n">
        <f aca="false">Assumptions!E17*(1-Assumptions!B60)+Assumptions!B43-'Dev Budget'!B30</f>
        <v>23155867.52</v>
      </c>
      <c r="C38" s="40" t="s">
        <v>346</v>
      </c>
    </row>
    <row r="39" customFormat="false" ht="15.75" hidden="false" customHeight="true" outlineLevel="0" collapsed="false">
      <c r="A39" s="36" t="s">
        <v>347</v>
      </c>
      <c r="B39" s="44" t="n">
        <f aca="false">Assumptions!B43/Assumptions!B35</f>
        <v>0.992000406974526</v>
      </c>
    </row>
    <row r="40" customFormat="false" ht="15.75" hidden="false" customHeight="true" outlineLevel="0" collapsed="false">
      <c r="A40" s="36" t="s">
        <v>348</v>
      </c>
      <c r="B40" s="44" t="n">
        <f aca="false">Assumptions!B56/'Dev Budget'!B30</f>
        <v>0.299201328507417</v>
      </c>
    </row>
    <row r="41" customFormat="false" ht="15.75" hidden="false" customHeight="true" outlineLevel="0" collapsed="false">
      <c r="A41" s="36" t="s">
        <v>349</v>
      </c>
      <c r="B41" s="44" t="n">
        <f aca="false">Assumptions!B52/'Dev Budget'!B30</f>
        <v>0.0176446004083349</v>
      </c>
    </row>
    <row r="42" customFormat="false" ht="15.75" hidden="false" customHeight="true" outlineLevel="0" collapsed="false">
      <c r="A42" s="36" t="s">
        <v>350</v>
      </c>
      <c r="B42" s="45" t="n">
        <f aca="false">('Dev Budget'!B30-Assumptions!B43)/(Assumptions!B9*(1-Assumptions!B60))</f>
        <v>3.52023516275696</v>
      </c>
    </row>
  </sheetData>
  <mergeCells count="14">
    <mergeCell ref="A1:I1"/>
    <mergeCell ref="A2:I2"/>
    <mergeCell ref="A4:C4"/>
    <mergeCell ref="E4:G4"/>
    <mergeCell ref="A6:C6"/>
    <mergeCell ref="E6:G6"/>
    <mergeCell ref="A8:C8"/>
    <mergeCell ref="E10:G10"/>
    <mergeCell ref="E14:G14"/>
    <mergeCell ref="A16:C16"/>
    <mergeCell ref="E18:G18"/>
    <mergeCell ref="A20:C20"/>
    <mergeCell ref="A22:C22"/>
    <mergeCell ref="A33:I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52" min="2" style="1" width="10"/>
    <col collapsed="false" customWidth="true" hidden="false" outlineLevel="0" max="53" min="53" style="1" width="14"/>
  </cols>
  <sheetData>
    <row r="1" customFormat="false" ht="30" hidden="false" customHeight="true" outlineLevel="0" collapsed="false">
      <c r="A1" s="32" t="s">
        <v>351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customFormat="false" ht="15.75" hidden="false" customHeight="true" outlineLevel="0" collapsed="false">
      <c r="A2" s="33" t="s">
        <v>352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</row>
    <row r="4" customFormat="false" ht="15.75" hidden="false" customHeight="true" outlineLevel="0" collapsed="false">
      <c r="A4" s="23" t="s">
        <v>353</v>
      </c>
      <c r="B4" s="23" t="s">
        <v>354</v>
      </c>
      <c r="C4" s="23" t="s">
        <v>355</v>
      </c>
      <c r="D4" s="23" t="s">
        <v>356</v>
      </c>
      <c r="E4" s="23" t="s">
        <v>357</v>
      </c>
      <c r="F4" s="23" t="s">
        <v>358</v>
      </c>
      <c r="G4" s="23" t="s">
        <v>359</v>
      </c>
      <c r="H4" s="23" t="s">
        <v>360</v>
      </c>
      <c r="I4" s="23" t="s">
        <v>361</v>
      </c>
      <c r="J4" s="23" t="s">
        <v>362</v>
      </c>
      <c r="K4" s="23" t="s">
        <v>363</v>
      </c>
      <c r="L4" s="23" t="s">
        <v>364</v>
      </c>
      <c r="M4" s="23" t="s">
        <v>365</v>
      </c>
      <c r="N4" s="23" t="s">
        <v>366</v>
      </c>
      <c r="O4" s="23" t="s">
        <v>367</v>
      </c>
      <c r="P4" s="23" t="s">
        <v>368</v>
      </c>
      <c r="Q4" s="23" t="s">
        <v>369</v>
      </c>
      <c r="R4" s="23" t="s">
        <v>370</v>
      </c>
      <c r="S4" s="23" t="s">
        <v>371</v>
      </c>
      <c r="T4" s="23" t="s">
        <v>372</v>
      </c>
      <c r="U4" s="23" t="s">
        <v>373</v>
      </c>
      <c r="V4" s="23" t="s">
        <v>374</v>
      </c>
      <c r="W4" s="23" t="s">
        <v>375</v>
      </c>
      <c r="X4" s="23" t="s">
        <v>376</v>
      </c>
      <c r="Y4" s="23" t="s">
        <v>377</v>
      </c>
      <c r="Z4" s="23" t="s">
        <v>378</v>
      </c>
      <c r="AA4" s="23" t="s">
        <v>379</v>
      </c>
      <c r="AB4" s="23" t="s">
        <v>380</v>
      </c>
      <c r="AC4" s="23" t="s">
        <v>381</v>
      </c>
      <c r="AD4" s="23" t="s">
        <v>382</v>
      </c>
      <c r="AE4" s="23" t="s">
        <v>383</v>
      </c>
      <c r="AF4" s="23" t="s">
        <v>384</v>
      </c>
      <c r="AG4" s="23" t="s">
        <v>385</v>
      </c>
      <c r="AH4" s="23" t="s">
        <v>386</v>
      </c>
      <c r="AI4" s="23" t="s">
        <v>387</v>
      </c>
      <c r="AJ4" s="23" t="s">
        <v>388</v>
      </c>
      <c r="AK4" s="23" t="s">
        <v>389</v>
      </c>
      <c r="AL4" s="23" t="s">
        <v>390</v>
      </c>
      <c r="AM4" s="23" t="s">
        <v>391</v>
      </c>
      <c r="AN4" s="23" t="s">
        <v>392</v>
      </c>
      <c r="AO4" s="23" t="s">
        <v>393</v>
      </c>
      <c r="AP4" s="23" t="s">
        <v>394</v>
      </c>
      <c r="AQ4" s="23" t="s">
        <v>395</v>
      </c>
      <c r="AR4" s="23" t="s">
        <v>396</v>
      </c>
      <c r="AS4" s="23" t="s">
        <v>397</v>
      </c>
      <c r="AT4" s="23" t="s">
        <v>398</v>
      </c>
      <c r="AU4" s="23" t="s">
        <v>399</v>
      </c>
      <c r="AV4" s="23" t="s">
        <v>400</v>
      </c>
      <c r="AW4" s="23" t="s">
        <v>401</v>
      </c>
      <c r="AX4" s="23" t="s">
        <v>402</v>
      </c>
      <c r="AY4" s="23" t="s">
        <v>403</v>
      </c>
      <c r="AZ4" s="23" t="s">
        <v>219</v>
      </c>
    </row>
    <row r="5" customFormat="false" ht="18" hidden="false" customHeight="true" outlineLevel="0" collapsed="false">
      <c r="A5" s="4" t="s">
        <v>404</v>
      </c>
    </row>
    <row r="6" customFormat="false" ht="15" hidden="false" customHeight="true" outlineLevel="0" collapsed="false">
      <c r="A6" s="48" t="s">
        <v>97</v>
      </c>
      <c r="B6" s="49" t="n">
        <f aca="false">Assumptions!B29/12</f>
        <v>166083.333333333</v>
      </c>
      <c r="C6" s="49" t="n">
        <f aca="false">Assumptions!B29/12</f>
        <v>166083.333333333</v>
      </c>
      <c r="D6" s="49" t="n">
        <f aca="false">Assumptions!B29/12</f>
        <v>166083.333333333</v>
      </c>
      <c r="E6" s="49" t="n">
        <f aca="false">Assumptions!B29/12</f>
        <v>166083.333333333</v>
      </c>
      <c r="F6" s="49" t="n">
        <f aca="false">Assumptions!B29/12</f>
        <v>166083.333333333</v>
      </c>
      <c r="G6" s="49" t="n">
        <f aca="false">Assumptions!B29/12</f>
        <v>166083.333333333</v>
      </c>
      <c r="H6" s="49" t="n">
        <f aca="false">Assumptions!B29/12</f>
        <v>166083.333333333</v>
      </c>
      <c r="I6" s="49" t="n">
        <f aca="false">Assumptions!B29/12</f>
        <v>166083.333333333</v>
      </c>
      <c r="J6" s="49" t="n">
        <f aca="false">Assumptions!B29/12</f>
        <v>166083.333333333</v>
      </c>
      <c r="K6" s="49" t="n">
        <f aca="false">Assumptions!B29/12</f>
        <v>166083.333333333</v>
      </c>
      <c r="L6" s="49" t="n">
        <f aca="false">Assumptions!B29/12</f>
        <v>166083.333333333</v>
      </c>
      <c r="M6" s="49" t="n">
        <f aca="false">Assumptions!B29/12</f>
        <v>166083.333333333</v>
      </c>
      <c r="N6" s="49" t="n">
        <v>0</v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 t="n">
        <v>0</v>
      </c>
      <c r="AB6" s="49" t="n">
        <v>0</v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49" t="n">
        <v>0</v>
      </c>
      <c r="AJ6" s="49" t="n">
        <v>0</v>
      </c>
      <c r="AK6" s="49" t="n">
        <v>0</v>
      </c>
      <c r="AL6" s="49" t="n">
        <v>0</v>
      </c>
      <c r="AM6" s="49" t="n">
        <v>0</v>
      </c>
      <c r="AN6" s="49" t="n">
        <v>0</v>
      </c>
      <c r="AO6" s="49" t="n">
        <v>0</v>
      </c>
      <c r="AP6" s="49" t="n">
        <v>0</v>
      </c>
      <c r="AQ6" s="49" t="n">
        <v>0</v>
      </c>
      <c r="AR6" s="49" t="n">
        <v>0</v>
      </c>
      <c r="AS6" s="49" t="n">
        <v>0</v>
      </c>
      <c r="AT6" s="49" t="n">
        <v>0</v>
      </c>
      <c r="AU6" s="49" t="n">
        <v>0</v>
      </c>
      <c r="AV6" s="49" t="n">
        <v>0</v>
      </c>
      <c r="AW6" s="49" t="n">
        <v>0</v>
      </c>
      <c r="AX6" s="49" t="n">
        <v>0</v>
      </c>
      <c r="AY6" s="49" t="n">
        <v>0</v>
      </c>
      <c r="AZ6" s="50" t="n">
        <f aca="false">SUM(B6:AY6)</f>
        <v>1993000</v>
      </c>
    </row>
    <row r="7" customFormat="false" ht="15" hidden="false" customHeight="true" outlineLevel="0" collapsed="false">
      <c r="A7" s="48" t="s">
        <v>98</v>
      </c>
      <c r="B7" s="49" t="n">
        <v>0</v>
      </c>
      <c r="C7" s="49" t="n">
        <f aca="false">Assumptions!B30/17</f>
        <v>201882.352941176</v>
      </c>
      <c r="D7" s="49" t="n">
        <f aca="false">Assumptions!B30/17</f>
        <v>201882.352941176</v>
      </c>
      <c r="E7" s="49" t="n">
        <f aca="false">Assumptions!B30/17</f>
        <v>201882.352941176</v>
      </c>
      <c r="F7" s="49" t="n">
        <f aca="false">Assumptions!B30/17</f>
        <v>201882.352941176</v>
      </c>
      <c r="G7" s="49" t="n">
        <f aca="false">Assumptions!B30/17</f>
        <v>201882.352941176</v>
      </c>
      <c r="H7" s="49" t="n">
        <f aca="false">Assumptions!B30/17</f>
        <v>201882.352941176</v>
      </c>
      <c r="I7" s="49" t="n">
        <f aca="false">Assumptions!B30/17</f>
        <v>201882.352941176</v>
      </c>
      <c r="J7" s="49" t="n">
        <f aca="false">Assumptions!B30/17</f>
        <v>201882.352941176</v>
      </c>
      <c r="K7" s="49" t="n">
        <f aca="false">Assumptions!B30/17</f>
        <v>201882.352941176</v>
      </c>
      <c r="L7" s="49" t="n">
        <f aca="false">Assumptions!B30/17</f>
        <v>201882.352941176</v>
      </c>
      <c r="M7" s="49" t="n">
        <f aca="false">Assumptions!B30/17</f>
        <v>201882.352941176</v>
      </c>
      <c r="N7" s="49" t="n">
        <f aca="false">Assumptions!B30/17</f>
        <v>201882.352941176</v>
      </c>
      <c r="O7" s="49" t="n">
        <f aca="false">Assumptions!B30/17</f>
        <v>201882.352941176</v>
      </c>
      <c r="P7" s="49" t="n">
        <f aca="false">Assumptions!B30/17</f>
        <v>201882.352941176</v>
      </c>
      <c r="Q7" s="49" t="n">
        <f aca="false">Assumptions!B30/17</f>
        <v>201882.352941176</v>
      </c>
      <c r="R7" s="49" t="n">
        <f aca="false">Assumptions!B30/17</f>
        <v>201882.352941176</v>
      </c>
      <c r="S7" s="49" t="n">
        <f aca="false">Assumptions!B30/17</f>
        <v>201882.352941176</v>
      </c>
      <c r="T7" s="49" t="n">
        <v>0</v>
      </c>
      <c r="U7" s="49" t="n">
        <v>0</v>
      </c>
      <c r="V7" s="49" t="n">
        <v>0</v>
      </c>
      <c r="W7" s="49" t="n">
        <v>0</v>
      </c>
      <c r="X7" s="49" t="n">
        <v>0</v>
      </c>
      <c r="Y7" s="49" t="n">
        <v>0</v>
      </c>
      <c r="Z7" s="49" t="n">
        <v>0</v>
      </c>
      <c r="AA7" s="49" t="n">
        <v>0</v>
      </c>
      <c r="AB7" s="49" t="n">
        <v>0</v>
      </c>
      <c r="AC7" s="49" t="n">
        <v>0</v>
      </c>
      <c r="AD7" s="49" t="n">
        <v>0</v>
      </c>
      <c r="AE7" s="49" t="n">
        <v>0</v>
      </c>
      <c r="AF7" s="49" t="n">
        <v>0</v>
      </c>
      <c r="AG7" s="49" t="n">
        <v>0</v>
      </c>
      <c r="AH7" s="49" t="n">
        <v>0</v>
      </c>
      <c r="AI7" s="49" t="n">
        <v>0</v>
      </c>
      <c r="AJ7" s="49" t="n">
        <v>0</v>
      </c>
      <c r="AK7" s="49" t="n">
        <v>0</v>
      </c>
      <c r="AL7" s="49" t="n">
        <v>0</v>
      </c>
      <c r="AM7" s="49" t="n">
        <v>0</v>
      </c>
      <c r="AN7" s="49" t="n">
        <v>0</v>
      </c>
      <c r="AO7" s="49" t="n">
        <v>0</v>
      </c>
      <c r="AP7" s="49" t="n">
        <v>0</v>
      </c>
      <c r="AQ7" s="49" t="n">
        <v>0</v>
      </c>
      <c r="AR7" s="49" t="n">
        <v>0</v>
      </c>
      <c r="AS7" s="49" t="n">
        <v>0</v>
      </c>
      <c r="AT7" s="49" t="n">
        <v>0</v>
      </c>
      <c r="AU7" s="49" t="n">
        <v>0</v>
      </c>
      <c r="AV7" s="49" t="n">
        <v>0</v>
      </c>
      <c r="AW7" s="49" t="n">
        <v>0</v>
      </c>
      <c r="AX7" s="49" t="n">
        <v>0</v>
      </c>
      <c r="AY7" s="49" t="n">
        <v>0</v>
      </c>
      <c r="AZ7" s="50" t="n">
        <f aca="false">SUM(B7:AY7)</f>
        <v>3432000</v>
      </c>
    </row>
    <row r="8" customFormat="false" ht="15" hidden="false" customHeight="true" outlineLevel="0" collapsed="false">
      <c r="A8" s="48" t="s">
        <v>148</v>
      </c>
      <c r="B8" s="49" t="n">
        <f aca="false">Assumptions!B31/24</f>
        <v>521958.333333333</v>
      </c>
      <c r="C8" s="49" t="n">
        <f aca="false">Assumptions!B31/24</f>
        <v>521958.333333333</v>
      </c>
      <c r="D8" s="49" t="n">
        <f aca="false">Assumptions!B31/24</f>
        <v>521958.333333333</v>
      </c>
      <c r="E8" s="49" t="n">
        <f aca="false">Assumptions!B31/24</f>
        <v>521958.333333333</v>
      </c>
      <c r="F8" s="49" t="n">
        <f aca="false">Assumptions!B31/24</f>
        <v>521958.333333333</v>
      </c>
      <c r="G8" s="49" t="n">
        <f aca="false">Assumptions!B31/24</f>
        <v>521958.333333333</v>
      </c>
      <c r="H8" s="49" t="n">
        <f aca="false">Assumptions!B31/24</f>
        <v>521958.333333333</v>
      </c>
      <c r="I8" s="49" t="n">
        <f aca="false">Assumptions!B31/24</f>
        <v>521958.333333333</v>
      </c>
      <c r="J8" s="49" t="n">
        <f aca="false">Assumptions!B31/24</f>
        <v>521958.333333333</v>
      </c>
      <c r="K8" s="49" t="n">
        <f aca="false">Assumptions!B31/24</f>
        <v>521958.333333333</v>
      </c>
      <c r="L8" s="49" t="n">
        <f aca="false">Assumptions!B31/24</f>
        <v>521958.333333333</v>
      </c>
      <c r="M8" s="49" t="n">
        <f aca="false">Assumptions!B31/24</f>
        <v>521958.333333333</v>
      </c>
      <c r="N8" s="49" t="n">
        <f aca="false">Assumptions!B31/24</f>
        <v>521958.333333333</v>
      </c>
      <c r="O8" s="49" t="n">
        <f aca="false">Assumptions!B31/24</f>
        <v>521958.333333333</v>
      </c>
      <c r="P8" s="49" t="n">
        <f aca="false">Assumptions!B31/24</f>
        <v>521958.333333333</v>
      </c>
      <c r="Q8" s="49" t="n">
        <f aca="false">Assumptions!B31/24</f>
        <v>521958.333333333</v>
      </c>
      <c r="R8" s="49" t="n">
        <f aca="false">Assumptions!B31/24</f>
        <v>521958.333333333</v>
      </c>
      <c r="S8" s="49" t="n">
        <f aca="false">Assumptions!B31/24</f>
        <v>521958.333333333</v>
      </c>
      <c r="T8" s="49" t="n">
        <f aca="false">Assumptions!B31/24</f>
        <v>521958.333333333</v>
      </c>
      <c r="U8" s="49" t="n">
        <f aca="false">Assumptions!B31/24</f>
        <v>521958.333333333</v>
      </c>
      <c r="V8" s="49" t="n">
        <f aca="false">Assumptions!B31/24</f>
        <v>521958.333333333</v>
      </c>
      <c r="W8" s="49" t="n">
        <f aca="false">Assumptions!B31/24</f>
        <v>521958.333333333</v>
      </c>
      <c r="X8" s="49" t="n">
        <f aca="false">Assumptions!B31/24</f>
        <v>521958.333333333</v>
      </c>
      <c r="Y8" s="49" t="n">
        <f aca="false">Assumptions!B31/24</f>
        <v>521958.333333333</v>
      </c>
      <c r="Z8" s="49" t="n">
        <v>0</v>
      </c>
      <c r="AA8" s="49" t="n">
        <v>0</v>
      </c>
      <c r="AB8" s="49" t="n">
        <v>0</v>
      </c>
      <c r="AC8" s="49" t="n">
        <v>0</v>
      </c>
      <c r="AD8" s="49" t="n">
        <v>0</v>
      </c>
      <c r="AE8" s="49" t="n">
        <v>0</v>
      </c>
      <c r="AF8" s="49" t="n">
        <v>0</v>
      </c>
      <c r="AG8" s="49" t="n">
        <v>0</v>
      </c>
      <c r="AH8" s="49" t="n">
        <v>0</v>
      </c>
      <c r="AI8" s="49" t="n">
        <v>0</v>
      </c>
      <c r="AJ8" s="49" t="n">
        <v>0</v>
      </c>
      <c r="AK8" s="49" t="n">
        <v>0</v>
      </c>
      <c r="AL8" s="49" t="n">
        <v>0</v>
      </c>
      <c r="AM8" s="49" t="n">
        <v>0</v>
      </c>
      <c r="AN8" s="49" t="n">
        <v>0</v>
      </c>
      <c r="AO8" s="49" t="n">
        <v>0</v>
      </c>
      <c r="AP8" s="49" t="n">
        <v>0</v>
      </c>
      <c r="AQ8" s="49" t="n">
        <v>0</v>
      </c>
      <c r="AR8" s="49" t="n">
        <v>0</v>
      </c>
      <c r="AS8" s="49" t="n">
        <v>0</v>
      </c>
      <c r="AT8" s="49" t="n">
        <v>0</v>
      </c>
      <c r="AU8" s="49" t="n">
        <v>0</v>
      </c>
      <c r="AV8" s="49" t="n">
        <v>0</v>
      </c>
      <c r="AW8" s="49" t="n">
        <v>0</v>
      </c>
      <c r="AX8" s="49" t="n">
        <v>0</v>
      </c>
      <c r="AY8" s="49" t="n">
        <v>0</v>
      </c>
      <c r="AZ8" s="50" t="n">
        <f aca="false">SUM(B8:AY8)</f>
        <v>12527000</v>
      </c>
    </row>
    <row r="9" customFormat="false" ht="15" hidden="false" customHeight="true" outlineLevel="0" collapsed="false">
      <c r="A9" s="48" t="s">
        <v>150</v>
      </c>
      <c r="B9" s="49" t="n">
        <v>0</v>
      </c>
      <c r="C9" s="49" t="n">
        <v>0</v>
      </c>
      <c r="D9" s="49" t="n">
        <v>0</v>
      </c>
      <c r="E9" s="49" t="n">
        <v>0</v>
      </c>
      <c r="F9" s="49" t="n">
        <v>0</v>
      </c>
      <c r="G9" s="49" t="n">
        <f aca="false">Assumptions!B32/25</f>
        <v>203920</v>
      </c>
      <c r="H9" s="49" t="n">
        <f aca="false">Assumptions!B32/25</f>
        <v>203920</v>
      </c>
      <c r="I9" s="49" t="n">
        <f aca="false">Assumptions!B32/25</f>
        <v>203920</v>
      </c>
      <c r="J9" s="49" t="n">
        <f aca="false">Assumptions!B32/25</f>
        <v>203920</v>
      </c>
      <c r="K9" s="49" t="n">
        <f aca="false">Assumptions!B32/25</f>
        <v>203920</v>
      </c>
      <c r="L9" s="49" t="n">
        <f aca="false">Assumptions!B32/25</f>
        <v>203920</v>
      </c>
      <c r="M9" s="49" t="n">
        <f aca="false">Assumptions!B32/25</f>
        <v>203920</v>
      </c>
      <c r="N9" s="49" t="n">
        <f aca="false">Assumptions!B32/25</f>
        <v>203920</v>
      </c>
      <c r="O9" s="49" t="n">
        <f aca="false">Assumptions!B32/25</f>
        <v>203920</v>
      </c>
      <c r="P9" s="49" t="n">
        <f aca="false">Assumptions!B32/25</f>
        <v>203920</v>
      </c>
      <c r="Q9" s="49" t="n">
        <f aca="false">Assumptions!B32/25</f>
        <v>203920</v>
      </c>
      <c r="R9" s="49" t="n">
        <f aca="false">Assumptions!B32/25</f>
        <v>203920</v>
      </c>
      <c r="S9" s="49" t="n">
        <f aca="false">Assumptions!B32/25</f>
        <v>203920</v>
      </c>
      <c r="T9" s="49" t="n">
        <f aca="false">Assumptions!B32/25</f>
        <v>203920</v>
      </c>
      <c r="U9" s="49" t="n">
        <f aca="false">Assumptions!B32/25</f>
        <v>203920</v>
      </c>
      <c r="V9" s="49" t="n">
        <f aca="false">Assumptions!B32/25</f>
        <v>203920</v>
      </c>
      <c r="W9" s="49" t="n">
        <f aca="false">Assumptions!B32/25</f>
        <v>203920</v>
      </c>
      <c r="X9" s="49" t="n">
        <f aca="false">Assumptions!B32/25</f>
        <v>203920</v>
      </c>
      <c r="Y9" s="49" t="n">
        <f aca="false">Assumptions!B32/25</f>
        <v>203920</v>
      </c>
      <c r="Z9" s="49" t="n">
        <f aca="false">Assumptions!B32/25</f>
        <v>203920</v>
      </c>
      <c r="AA9" s="49" t="n">
        <f aca="false">Assumptions!B32/25</f>
        <v>203920</v>
      </c>
      <c r="AB9" s="49" t="n">
        <f aca="false">Assumptions!B32/25</f>
        <v>203920</v>
      </c>
      <c r="AC9" s="49" t="n">
        <f aca="false">Assumptions!B32/25</f>
        <v>203920</v>
      </c>
      <c r="AD9" s="49" t="n">
        <f aca="false">Assumptions!B32/25</f>
        <v>203920</v>
      </c>
      <c r="AE9" s="49" t="n">
        <f aca="false">Assumptions!B32/25</f>
        <v>203920</v>
      </c>
      <c r="AF9" s="49" t="n">
        <v>0</v>
      </c>
      <c r="AG9" s="49" t="n">
        <v>0</v>
      </c>
      <c r="AH9" s="49" t="n">
        <v>0</v>
      </c>
      <c r="AI9" s="49" t="n">
        <v>0</v>
      </c>
      <c r="AJ9" s="49" t="n">
        <v>0</v>
      </c>
      <c r="AK9" s="49" t="n">
        <v>0</v>
      </c>
      <c r="AL9" s="49" t="n">
        <v>0</v>
      </c>
      <c r="AM9" s="49" t="n">
        <v>0</v>
      </c>
      <c r="AN9" s="49" t="n">
        <v>0</v>
      </c>
      <c r="AO9" s="49" t="n">
        <v>0</v>
      </c>
      <c r="AP9" s="49" t="n">
        <v>0</v>
      </c>
      <c r="AQ9" s="49" t="n">
        <v>0</v>
      </c>
      <c r="AR9" s="49" t="n">
        <v>0</v>
      </c>
      <c r="AS9" s="49" t="n">
        <v>0</v>
      </c>
      <c r="AT9" s="49" t="n">
        <v>0</v>
      </c>
      <c r="AU9" s="49" t="n">
        <v>0</v>
      </c>
      <c r="AV9" s="49" t="n">
        <v>0</v>
      </c>
      <c r="AW9" s="49" t="n">
        <v>0</v>
      </c>
      <c r="AX9" s="49" t="n">
        <v>0</v>
      </c>
      <c r="AY9" s="49" t="n">
        <v>0</v>
      </c>
      <c r="AZ9" s="50" t="n">
        <f aca="false">SUM(B9:AY9)</f>
        <v>5098000</v>
      </c>
    </row>
    <row r="10" customFormat="false" ht="15" hidden="false" customHeight="true" outlineLevel="0" collapsed="false">
      <c r="A10" s="48" t="s">
        <v>101</v>
      </c>
      <c r="B10" s="49" t="n">
        <f aca="false">Assumptions!B33/48</f>
        <v>5458.33333333333</v>
      </c>
      <c r="C10" s="49" t="n">
        <f aca="false">Assumptions!B33/48</f>
        <v>5458.33333333333</v>
      </c>
      <c r="D10" s="49" t="n">
        <f aca="false">Assumptions!B33/48</f>
        <v>5458.33333333333</v>
      </c>
      <c r="E10" s="49" t="n">
        <f aca="false">Assumptions!B33/48</f>
        <v>5458.33333333333</v>
      </c>
      <c r="F10" s="49" t="n">
        <f aca="false">Assumptions!B33/48</f>
        <v>5458.33333333333</v>
      </c>
      <c r="G10" s="49" t="n">
        <f aca="false">Assumptions!B33/48</f>
        <v>5458.33333333333</v>
      </c>
      <c r="H10" s="49" t="n">
        <f aca="false">Assumptions!B33/48</f>
        <v>5458.33333333333</v>
      </c>
      <c r="I10" s="49" t="n">
        <f aca="false">Assumptions!B33/48</f>
        <v>5458.33333333333</v>
      </c>
      <c r="J10" s="49" t="n">
        <f aca="false">Assumptions!B33/48</f>
        <v>5458.33333333333</v>
      </c>
      <c r="K10" s="49" t="n">
        <f aca="false">Assumptions!B33/48</f>
        <v>5458.33333333333</v>
      </c>
      <c r="L10" s="49" t="n">
        <f aca="false">Assumptions!B33/48</f>
        <v>5458.33333333333</v>
      </c>
      <c r="M10" s="49" t="n">
        <f aca="false">Assumptions!B33/48</f>
        <v>5458.33333333333</v>
      </c>
      <c r="N10" s="49" t="n">
        <f aca="false">Assumptions!B33/48</f>
        <v>5458.33333333333</v>
      </c>
      <c r="O10" s="49" t="n">
        <f aca="false">Assumptions!B33/48</f>
        <v>5458.33333333333</v>
      </c>
      <c r="P10" s="49" t="n">
        <f aca="false">Assumptions!B33/48</f>
        <v>5458.33333333333</v>
      </c>
      <c r="Q10" s="49" t="n">
        <f aca="false">Assumptions!B33/48</f>
        <v>5458.33333333333</v>
      </c>
      <c r="R10" s="49" t="n">
        <f aca="false">Assumptions!B33/48</f>
        <v>5458.33333333333</v>
      </c>
      <c r="S10" s="49" t="n">
        <f aca="false">Assumptions!B33/48</f>
        <v>5458.33333333333</v>
      </c>
      <c r="T10" s="49" t="n">
        <f aca="false">Assumptions!B33/48</f>
        <v>5458.33333333333</v>
      </c>
      <c r="U10" s="49" t="n">
        <f aca="false">Assumptions!B33/48</f>
        <v>5458.33333333333</v>
      </c>
      <c r="V10" s="49" t="n">
        <f aca="false">Assumptions!B33/48</f>
        <v>5458.33333333333</v>
      </c>
      <c r="W10" s="49" t="n">
        <f aca="false">Assumptions!B33/48</f>
        <v>5458.33333333333</v>
      </c>
      <c r="X10" s="49" t="n">
        <f aca="false">Assumptions!B33/48</f>
        <v>5458.33333333333</v>
      </c>
      <c r="Y10" s="49" t="n">
        <f aca="false">Assumptions!B33/48</f>
        <v>5458.33333333333</v>
      </c>
      <c r="Z10" s="49" t="n">
        <f aca="false">Assumptions!B33/48</f>
        <v>5458.33333333333</v>
      </c>
      <c r="AA10" s="49" t="n">
        <f aca="false">Assumptions!B33/48</f>
        <v>5458.33333333333</v>
      </c>
      <c r="AB10" s="49" t="n">
        <f aca="false">Assumptions!B33/48</f>
        <v>5458.33333333333</v>
      </c>
      <c r="AC10" s="49" t="n">
        <f aca="false">Assumptions!B33/48</f>
        <v>5458.33333333333</v>
      </c>
      <c r="AD10" s="49" t="n">
        <f aca="false">Assumptions!B33/48</f>
        <v>5458.33333333333</v>
      </c>
      <c r="AE10" s="49" t="n">
        <f aca="false">Assumptions!B33/48</f>
        <v>5458.33333333333</v>
      </c>
      <c r="AF10" s="49" t="n">
        <f aca="false">Assumptions!B33/48</f>
        <v>5458.33333333333</v>
      </c>
      <c r="AG10" s="49" t="n">
        <f aca="false">Assumptions!B33/48</f>
        <v>5458.33333333333</v>
      </c>
      <c r="AH10" s="49" t="n">
        <f aca="false">Assumptions!B33/48</f>
        <v>5458.33333333333</v>
      </c>
      <c r="AI10" s="49" t="n">
        <f aca="false">Assumptions!B33/48</f>
        <v>5458.33333333333</v>
      </c>
      <c r="AJ10" s="49" t="n">
        <f aca="false">Assumptions!B33/48</f>
        <v>5458.33333333333</v>
      </c>
      <c r="AK10" s="49" t="n">
        <f aca="false">Assumptions!B33/48</f>
        <v>5458.33333333333</v>
      </c>
      <c r="AL10" s="49" t="n">
        <f aca="false">Assumptions!B33/48</f>
        <v>5458.33333333333</v>
      </c>
      <c r="AM10" s="49" t="n">
        <f aca="false">Assumptions!B33/48</f>
        <v>5458.33333333333</v>
      </c>
      <c r="AN10" s="49" t="n">
        <f aca="false">Assumptions!B33/48</f>
        <v>5458.33333333333</v>
      </c>
      <c r="AO10" s="49" t="n">
        <f aca="false">Assumptions!B33/48</f>
        <v>5458.33333333333</v>
      </c>
      <c r="AP10" s="49" t="n">
        <f aca="false">Assumptions!B33/48</f>
        <v>5458.33333333333</v>
      </c>
      <c r="AQ10" s="49" t="n">
        <f aca="false">Assumptions!B33/48</f>
        <v>5458.33333333333</v>
      </c>
      <c r="AR10" s="49" t="n">
        <f aca="false">Assumptions!B33/48</f>
        <v>5458.33333333333</v>
      </c>
      <c r="AS10" s="49" t="n">
        <f aca="false">Assumptions!B33/48</f>
        <v>5458.33333333333</v>
      </c>
      <c r="AT10" s="49" t="n">
        <f aca="false">Assumptions!B33/48</f>
        <v>5458.33333333333</v>
      </c>
      <c r="AU10" s="49" t="n">
        <f aca="false">Assumptions!B33/48</f>
        <v>5458.33333333333</v>
      </c>
      <c r="AV10" s="49" t="n">
        <f aca="false">Assumptions!B33/48</f>
        <v>5458.33333333333</v>
      </c>
      <c r="AW10" s="49" t="n">
        <f aca="false">Assumptions!B33/48</f>
        <v>5458.33333333333</v>
      </c>
      <c r="AX10" s="49" t="n">
        <v>0</v>
      </c>
      <c r="AY10" s="49" t="n">
        <v>0</v>
      </c>
      <c r="AZ10" s="50" t="n">
        <f aca="false">SUM(B10:AY10)</f>
        <v>262000</v>
      </c>
    </row>
    <row r="11" customFormat="false" ht="15" hidden="false" customHeight="true" outlineLevel="0" collapsed="false">
      <c r="A11" s="48" t="s">
        <v>405</v>
      </c>
      <c r="B11" s="49" t="n">
        <f aca="false">Assumptions!B34/50</f>
        <v>5534</v>
      </c>
      <c r="C11" s="49" t="n">
        <f aca="false">Assumptions!B34/50</f>
        <v>5534</v>
      </c>
      <c r="D11" s="49" t="n">
        <f aca="false">Assumptions!B34/50</f>
        <v>5534</v>
      </c>
      <c r="E11" s="49" t="n">
        <f aca="false">Assumptions!B34/50</f>
        <v>5534</v>
      </c>
      <c r="F11" s="49" t="n">
        <f aca="false">Assumptions!B34/50</f>
        <v>5534</v>
      </c>
      <c r="G11" s="49" t="n">
        <f aca="false">Assumptions!B34/50</f>
        <v>5534</v>
      </c>
      <c r="H11" s="49" t="n">
        <f aca="false">Assumptions!B34/50</f>
        <v>5534</v>
      </c>
      <c r="I11" s="49" t="n">
        <f aca="false">Assumptions!B34/50</f>
        <v>5534</v>
      </c>
      <c r="J11" s="49" t="n">
        <f aca="false">Assumptions!B34/50</f>
        <v>5534</v>
      </c>
      <c r="K11" s="49" t="n">
        <f aca="false">Assumptions!B34/50</f>
        <v>5534</v>
      </c>
      <c r="L11" s="49" t="n">
        <f aca="false">Assumptions!B34/50</f>
        <v>5534</v>
      </c>
      <c r="M11" s="49" t="n">
        <f aca="false">Assumptions!B34/50</f>
        <v>5534</v>
      </c>
      <c r="N11" s="49" t="n">
        <f aca="false">Assumptions!B34/50</f>
        <v>5534</v>
      </c>
      <c r="O11" s="49" t="n">
        <f aca="false">Assumptions!B34/50</f>
        <v>5534</v>
      </c>
      <c r="P11" s="49" t="n">
        <f aca="false">Assumptions!B34/50</f>
        <v>5534</v>
      </c>
      <c r="Q11" s="49" t="n">
        <f aca="false">Assumptions!B34/50</f>
        <v>5534</v>
      </c>
      <c r="R11" s="49" t="n">
        <f aca="false">Assumptions!B34/50</f>
        <v>5534</v>
      </c>
      <c r="S11" s="49" t="n">
        <f aca="false">Assumptions!B34/50</f>
        <v>5534</v>
      </c>
      <c r="T11" s="49" t="n">
        <f aca="false">Assumptions!B34/50</f>
        <v>5534</v>
      </c>
      <c r="U11" s="49" t="n">
        <f aca="false">Assumptions!B34/50</f>
        <v>5534</v>
      </c>
      <c r="V11" s="49" t="n">
        <f aca="false">Assumptions!B34/50</f>
        <v>5534</v>
      </c>
      <c r="W11" s="49" t="n">
        <f aca="false">Assumptions!B34/50</f>
        <v>5534</v>
      </c>
      <c r="X11" s="49" t="n">
        <f aca="false">Assumptions!B34/50</f>
        <v>5534</v>
      </c>
      <c r="Y11" s="49" t="n">
        <f aca="false">Assumptions!B34/50</f>
        <v>5534</v>
      </c>
      <c r="Z11" s="49" t="n">
        <f aca="false">Assumptions!B34/50</f>
        <v>5534</v>
      </c>
      <c r="AA11" s="49" t="n">
        <f aca="false">Assumptions!B34/50</f>
        <v>5534</v>
      </c>
      <c r="AB11" s="49" t="n">
        <f aca="false">Assumptions!B34/50</f>
        <v>5534</v>
      </c>
      <c r="AC11" s="49" t="n">
        <f aca="false">Assumptions!B34/50</f>
        <v>5534</v>
      </c>
      <c r="AD11" s="49" t="n">
        <f aca="false">Assumptions!B34/50</f>
        <v>5534</v>
      </c>
      <c r="AE11" s="49" t="n">
        <f aca="false">Assumptions!B34/50</f>
        <v>5534</v>
      </c>
      <c r="AF11" s="49" t="n">
        <f aca="false">Assumptions!B34/50</f>
        <v>5534</v>
      </c>
      <c r="AG11" s="49" t="n">
        <f aca="false">Assumptions!B34/50</f>
        <v>5534</v>
      </c>
      <c r="AH11" s="49" t="n">
        <f aca="false">Assumptions!B34/50</f>
        <v>5534</v>
      </c>
      <c r="AI11" s="49" t="n">
        <f aca="false">Assumptions!B34/50</f>
        <v>5534</v>
      </c>
      <c r="AJ11" s="49" t="n">
        <f aca="false">Assumptions!B34/50</f>
        <v>5534</v>
      </c>
      <c r="AK11" s="49" t="n">
        <f aca="false">Assumptions!B34/50</f>
        <v>5534</v>
      </c>
      <c r="AL11" s="49" t="n">
        <f aca="false">Assumptions!B34/50</f>
        <v>5534</v>
      </c>
      <c r="AM11" s="49" t="n">
        <f aca="false">Assumptions!B34/50</f>
        <v>5534</v>
      </c>
      <c r="AN11" s="49" t="n">
        <f aca="false">Assumptions!B34/50</f>
        <v>5534</v>
      </c>
      <c r="AO11" s="49" t="n">
        <f aca="false">Assumptions!B34/50</f>
        <v>5534</v>
      </c>
      <c r="AP11" s="49" t="n">
        <f aca="false">Assumptions!B34/50</f>
        <v>5534</v>
      </c>
      <c r="AQ11" s="49" t="n">
        <f aca="false">Assumptions!B34/50</f>
        <v>5534</v>
      </c>
      <c r="AR11" s="49" t="n">
        <f aca="false">Assumptions!B34/50</f>
        <v>5534</v>
      </c>
      <c r="AS11" s="49" t="n">
        <f aca="false">Assumptions!B34/50</f>
        <v>5534</v>
      </c>
      <c r="AT11" s="49" t="n">
        <f aca="false">Assumptions!B34/50</f>
        <v>5534</v>
      </c>
      <c r="AU11" s="49" t="n">
        <f aca="false">Assumptions!B34/50</f>
        <v>5534</v>
      </c>
      <c r="AV11" s="49" t="n">
        <f aca="false">Assumptions!B34/50</f>
        <v>5534</v>
      </c>
      <c r="AW11" s="49" t="n">
        <f aca="false">Assumptions!B34/50</f>
        <v>5534</v>
      </c>
      <c r="AX11" s="49" t="n">
        <f aca="false">Assumptions!B34/50</f>
        <v>5534</v>
      </c>
      <c r="AY11" s="49" t="n">
        <f aca="false">Assumptions!B34/50</f>
        <v>5534</v>
      </c>
      <c r="AZ11" s="50" t="n">
        <f aca="false">SUM(B11:AY11)</f>
        <v>276700</v>
      </c>
    </row>
    <row r="12" customFormat="false" ht="16.5" hidden="false" customHeight="true" outlineLevel="0" collapsed="false">
      <c r="A12" s="51" t="s">
        <v>406</v>
      </c>
      <c r="B12" s="52" t="n">
        <f aca="false">B6+B7+B8+B9+B10+B11</f>
        <v>699034</v>
      </c>
      <c r="C12" s="52" t="n">
        <f aca="false">C6+C7+C8+C9+C10+C11</f>
        <v>900916.352941177</v>
      </c>
      <c r="D12" s="52" t="n">
        <f aca="false">D6+D7+D8+D9+D10+D11</f>
        <v>900916.352941177</v>
      </c>
      <c r="E12" s="52" t="n">
        <f aca="false">E6+E7+E8+E9+E10+E11</f>
        <v>900916.352941177</v>
      </c>
      <c r="F12" s="52" t="n">
        <f aca="false">F6+F7+F8+F9+F10+F11</f>
        <v>900916.352941177</v>
      </c>
      <c r="G12" s="52" t="n">
        <f aca="false">G6+G7+G8+G9+G10+G11</f>
        <v>1104836.35294118</v>
      </c>
      <c r="H12" s="52" t="n">
        <f aca="false">H6+H7+H8+H9+H10+H11</f>
        <v>1104836.35294118</v>
      </c>
      <c r="I12" s="52" t="n">
        <f aca="false">I6+I7+I8+I9+I10+I11</f>
        <v>1104836.35294118</v>
      </c>
      <c r="J12" s="52" t="n">
        <f aca="false">J6+J7+J8+J9+J10+J11</f>
        <v>1104836.35294118</v>
      </c>
      <c r="K12" s="52" t="n">
        <f aca="false">K6+K7+K8+K9+K10+K11</f>
        <v>1104836.35294118</v>
      </c>
      <c r="L12" s="52" t="n">
        <f aca="false">L6+L7+L8+L9+L10+L11</f>
        <v>1104836.35294118</v>
      </c>
      <c r="M12" s="52" t="n">
        <f aca="false">M6+M7+M8+M9+M10+M11</f>
        <v>1104836.35294118</v>
      </c>
      <c r="N12" s="52" t="n">
        <f aca="false">N6+N7+N8+N9+N10+N11</f>
        <v>938753.019607843</v>
      </c>
      <c r="O12" s="52" t="n">
        <f aca="false">O6+O7+O8+O9+O10+O11</f>
        <v>938753.019607843</v>
      </c>
      <c r="P12" s="52" t="n">
        <f aca="false">P6+P7+P8+P9+P10+P11</f>
        <v>938753.019607843</v>
      </c>
      <c r="Q12" s="52" t="n">
        <f aca="false">Q6+Q7+Q8+Q9+Q10+Q11</f>
        <v>938753.019607843</v>
      </c>
      <c r="R12" s="52" t="n">
        <f aca="false">R6+R7+R8+R9+R10+R11</f>
        <v>938753.019607843</v>
      </c>
      <c r="S12" s="52" t="n">
        <f aca="false">S6+S7+S8+S9+S10+S11</f>
        <v>938753.019607843</v>
      </c>
      <c r="T12" s="52" t="n">
        <f aca="false">T6+T7+T8+T9+T10+T11</f>
        <v>736870.666666667</v>
      </c>
      <c r="U12" s="52" t="n">
        <f aca="false">U6+U7+U8+U9+U10+U11</f>
        <v>736870.666666667</v>
      </c>
      <c r="V12" s="52" t="n">
        <f aca="false">V6+V7+V8+V9+V10+V11</f>
        <v>736870.666666667</v>
      </c>
      <c r="W12" s="52" t="n">
        <f aca="false">W6+W7+W8+W9+W10+W11</f>
        <v>736870.666666667</v>
      </c>
      <c r="X12" s="52" t="n">
        <f aca="false">X6+X7+X8+X9+X10+X11</f>
        <v>736870.666666667</v>
      </c>
      <c r="Y12" s="52" t="n">
        <f aca="false">Y6+Y7+Y8+Y9+Y10+Y11</f>
        <v>736870.666666667</v>
      </c>
      <c r="Z12" s="52" t="n">
        <f aca="false">Z6+Z7+Z8+Z9+Z10+Z11</f>
        <v>214912.333333333</v>
      </c>
      <c r="AA12" s="52" t="n">
        <f aca="false">AA6+AA7+AA8+AA9+AA10+AA11</f>
        <v>214912.333333333</v>
      </c>
      <c r="AB12" s="52" t="n">
        <f aca="false">AB6+AB7+AB8+AB9+AB10+AB11</f>
        <v>214912.333333333</v>
      </c>
      <c r="AC12" s="52" t="n">
        <f aca="false">AC6+AC7+AC8+AC9+AC10+AC11</f>
        <v>214912.333333333</v>
      </c>
      <c r="AD12" s="52" t="n">
        <f aca="false">AD6+AD7+AD8+AD9+AD10+AD11</f>
        <v>214912.333333333</v>
      </c>
      <c r="AE12" s="52" t="n">
        <f aca="false">AE6+AE7+AE8+AE9+AE10+AE11</f>
        <v>214912.333333333</v>
      </c>
      <c r="AF12" s="52" t="n">
        <f aca="false">AF6+AF7+AF8+AF9+AF10+AF11</f>
        <v>10992.3333333333</v>
      </c>
      <c r="AG12" s="52" t="n">
        <f aca="false">AG6+AG7+AG8+AG9+AG10+AG11</f>
        <v>10992.3333333333</v>
      </c>
      <c r="AH12" s="52" t="n">
        <f aca="false">AH6+AH7+AH8+AH9+AH10+AH11</f>
        <v>10992.3333333333</v>
      </c>
      <c r="AI12" s="52" t="n">
        <f aca="false">AI6+AI7+AI8+AI9+AI10+AI11</f>
        <v>10992.3333333333</v>
      </c>
      <c r="AJ12" s="52" t="n">
        <f aca="false">AJ6+AJ7+AJ8+AJ9+AJ10+AJ11</f>
        <v>10992.3333333333</v>
      </c>
      <c r="AK12" s="52" t="n">
        <f aca="false">AK6+AK7+AK8+AK9+AK10+AK11</f>
        <v>10992.3333333333</v>
      </c>
      <c r="AL12" s="52" t="n">
        <f aca="false">AL6+AL7+AL8+AL9+AL10+AL11</f>
        <v>10992.3333333333</v>
      </c>
      <c r="AM12" s="52" t="n">
        <f aca="false">AM6+AM7+AM8+AM9+AM10+AM11</f>
        <v>10992.3333333333</v>
      </c>
      <c r="AN12" s="52" t="n">
        <f aca="false">AN6+AN7+AN8+AN9+AN10+AN11</f>
        <v>10992.3333333333</v>
      </c>
      <c r="AO12" s="52" t="n">
        <f aca="false">AO6+AO7+AO8+AO9+AO10+AO11</f>
        <v>10992.3333333333</v>
      </c>
      <c r="AP12" s="52" t="n">
        <f aca="false">AP6+AP7+AP8+AP9+AP10+AP11</f>
        <v>10992.3333333333</v>
      </c>
      <c r="AQ12" s="52" t="n">
        <f aca="false">AQ6+AQ7+AQ8+AQ9+AQ10+AQ11</f>
        <v>10992.3333333333</v>
      </c>
      <c r="AR12" s="52" t="n">
        <f aca="false">AR6+AR7+AR8+AR9+AR10+AR11</f>
        <v>10992.3333333333</v>
      </c>
      <c r="AS12" s="52" t="n">
        <f aca="false">AS6+AS7+AS8+AS9+AS10+AS11</f>
        <v>10992.3333333333</v>
      </c>
      <c r="AT12" s="52" t="n">
        <f aca="false">AT6+AT7+AT8+AT9+AT10+AT11</f>
        <v>10992.3333333333</v>
      </c>
      <c r="AU12" s="52" t="n">
        <f aca="false">AU6+AU7+AU8+AU9+AU10+AU11</f>
        <v>10992.3333333333</v>
      </c>
      <c r="AV12" s="52" t="n">
        <f aca="false">AV6+AV7+AV8+AV9+AV10+AV11</f>
        <v>10992.3333333333</v>
      </c>
      <c r="AW12" s="52" t="n">
        <f aca="false">AW6+AW7+AW8+AW9+AW10+AW11</f>
        <v>10992.3333333333</v>
      </c>
      <c r="AX12" s="52" t="n">
        <f aca="false">AX6+AX7+AX8+AX9+AX10+AX11</f>
        <v>5534</v>
      </c>
      <c r="AY12" s="52" t="n">
        <f aca="false">AY6+AY7+AY8+AY9+AY10+AY11</f>
        <v>5534</v>
      </c>
      <c r="AZ12" s="52" t="n">
        <f aca="false">AZ6+AZ7+AZ8+AZ9+AZ10+AZ11</f>
        <v>23588700</v>
      </c>
    </row>
    <row r="13" customFormat="false" ht="18" hidden="false" customHeight="true" outlineLevel="0" collapsed="false">
      <c r="A13" s="4" t="s">
        <v>407</v>
      </c>
    </row>
    <row r="14" customFormat="false" ht="15" hidden="false" customHeight="true" outlineLevel="0" collapsed="false">
      <c r="A14" s="48" t="s">
        <v>105</v>
      </c>
      <c r="B14" s="49" t="n">
        <f aca="false">Assumptions!B38/36</f>
        <v>36666.6666666667</v>
      </c>
      <c r="C14" s="49" t="n">
        <f aca="false">Assumptions!B38/36</f>
        <v>36666.6666666667</v>
      </c>
      <c r="D14" s="49" t="n">
        <f aca="false">Assumptions!B38/36</f>
        <v>36666.6666666667</v>
      </c>
      <c r="E14" s="49" t="n">
        <f aca="false">Assumptions!B38/36</f>
        <v>36666.6666666667</v>
      </c>
      <c r="F14" s="49" t="n">
        <f aca="false">Assumptions!B38/36</f>
        <v>36666.6666666667</v>
      </c>
      <c r="G14" s="49" t="n">
        <f aca="false">Assumptions!B38/36</f>
        <v>36666.6666666667</v>
      </c>
      <c r="H14" s="49" t="n">
        <f aca="false">Assumptions!B38/36</f>
        <v>36666.6666666667</v>
      </c>
      <c r="I14" s="49" t="n">
        <f aca="false">Assumptions!B38/36</f>
        <v>36666.6666666667</v>
      </c>
      <c r="J14" s="49" t="n">
        <f aca="false">Assumptions!B38/36</f>
        <v>36666.6666666667</v>
      </c>
      <c r="K14" s="49" t="n">
        <f aca="false">Assumptions!B38/36</f>
        <v>36666.6666666667</v>
      </c>
      <c r="L14" s="49" t="n">
        <f aca="false">Assumptions!B38/36</f>
        <v>36666.6666666667</v>
      </c>
      <c r="M14" s="49" t="n">
        <f aca="false">Assumptions!B38/36</f>
        <v>36666.6666666667</v>
      </c>
      <c r="N14" s="49" t="n">
        <f aca="false">Assumptions!B38/36</f>
        <v>36666.6666666667</v>
      </c>
      <c r="O14" s="49" t="n">
        <f aca="false">Assumptions!B38/36</f>
        <v>36666.6666666667</v>
      </c>
      <c r="P14" s="49" t="n">
        <f aca="false">Assumptions!B38/36</f>
        <v>36666.6666666667</v>
      </c>
      <c r="Q14" s="49" t="n">
        <f aca="false">Assumptions!B38/36</f>
        <v>36666.6666666667</v>
      </c>
      <c r="R14" s="49" t="n">
        <f aca="false">Assumptions!B38/36</f>
        <v>36666.6666666667</v>
      </c>
      <c r="S14" s="49" t="n">
        <f aca="false">Assumptions!B38/36</f>
        <v>36666.6666666667</v>
      </c>
      <c r="T14" s="49" t="n">
        <f aca="false">Assumptions!B38/36</f>
        <v>36666.6666666667</v>
      </c>
      <c r="U14" s="49" t="n">
        <f aca="false">Assumptions!B38/36</f>
        <v>36666.6666666667</v>
      </c>
      <c r="V14" s="49" t="n">
        <f aca="false">Assumptions!B38/36</f>
        <v>36666.6666666667</v>
      </c>
      <c r="W14" s="49" t="n">
        <f aca="false">Assumptions!B38/36</f>
        <v>36666.6666666667</v>
      </c>
      <c r="X14" s="49" t="n">
        <f aca="false">Assumptions!B38/36</f>
        <v>36666.6666666667</v>
      </c>
      <c r="Y14" s="49" t="n">
        <f aca="false">Assumptions!B38/36</f>
        <v>36666.6666666667</v>
      </c>
      <c r="Z14" s="49" t="n">
        <f aca="false">Assumptions!B38/36</f>
        <v>36666.6666666667</v>
      </c>
      <c r="AA14" s="49" t="n">
        <f aca="false">Assumptions!B38/36</f>
        <v>36666.6666666667</v>
      </c>
      <c r="AB14" s="49" t="n">
        <f aca="false">Assumptions!B38/36</f>
        <v>36666.6666666667</v>
      </c>
      <c r="AC14" s="49" t="n">
        <f aca="false">Assumptions!B38/36</f>
        <v>36666.6666666667</v>
      </c>
      <c r="AD14" s="49" t="n">
        <f aca="false">Assumptions!B38/36</f>
        <v>36666.6666666667</v>
      </c>
      <c r="AE14" s="49" t="n">
        <f aca="false">Assumptions!B38/36</f>
        <v>36666.6666666667</v>
      </c>
      <c r="AF14" s="49" t="n">
        <f aca="false">Assumptions!B38/36</f>
        <v>36666.6666666667</v>
      </c>
      <c r="AG14" s="49" t="n">
        <f aca="false">Assumptions!B38/36</f>
        <v>36666.6666666667</v>
      </c>
      <c r="AH14" s="49" t="n">
        <f aca="false">Assumptions!B38/36</f>
        <v>36666.6666666667</v>
      </c>
      <c r="AI14" s="49" t="n">
        <f aca="false">Assumptions!B38/36</f>
        <v>36666.6666666667</v>
      </c>
      <c r="AJ14" s="49" t="n">
        <f aca="false">Assumptions!B38/36</f>
        <v>36666.6666666667</v>
      </c>
      <c r="AK14" s="49" t="n">
        <f aca="false">Assumptions!B38/36</f>
        <v>36666.6666666667</v>
      </c>
      <c r="AL14" s="49" t="n">
        <v>0</v>
      </c>
      <c r="AM14" s="49" t="n">
        <v>0</v>
      </c>
      <c r="AN14" s="49" t="n">
        <v>0</v>
      </c>
      <c r="AO14" s="49" t="n">
        <v>0</v>
      </c>
      <c r="AP14" s="49" t="n">
        <v>0</v>
      </c>
      <c r="AQ14" s="49" t="n">
        <v>0</v>
      </c>
      <c r="AR14" s="49" t="n">
        <v>0</v>
      </c>
      <c r="AS14" s="49" t="n">
        <v>0</v>
      </c>
      <c r="AT14" s="49" t="n">
        <v>0</v>
      </c>
      <c r="AU14" s="49" t="n">
        <v>0</v>
      </c>
      <c r="AV14" s="49" t="n">
        <v>0</v>
      </c>
      <c r="AW14" s="49" t="n">
        <v>0</v>
      </c>
      <c r="AX14" s="49" t="n">
        <v>0</v>
      </c>
      <c r="AY14" s="49" t="n">
        <v>0</v>
      </c>
      <c r="AZ14" s="50" t="n">
        <f aca="false">SUM(B14:AY14)</f>
        <v>1320000</v>
      </c>
    </row>
    <row r="15" customFormat="false" ht="15" hidden="false" customHeight="true" outlineLevel="0" collapsed="false">
      <c r="A15" s="48" t="s">
        <v>106</v>
      </c>
      <c r="B15" s="49" t="n">
        <f aca="false">Assumptions!B39/12</f>
        <v>6916.66666666667</v>
      </c>
      <c r="C15" s="49" t="n">
        <f aca="false">Assumptions!B39/12</f>
        <v>6916.66666666667</v>
      </c>
      <c r="D15" s="49" t="n">
        <f aca="false">Assumptions!B39/12</f>
        <v>6916.66666666667</v>
      </c>
      <c r="E15" s="49" t="n">
        <f aca="false">Assumptions!B39/12</f>
        <v>6916.66666666667</v>
      </c>
      <c r="F15" s="49" t="n">
        <f aca="false">Assumptions!B39/12</f>
        <v>6916.66666666667</v>
      </c>
      <c r="G15" s="49" t="n">
        <f aca="false">Assumptions!B39/12</f>
        <v>6916.66666666667</v>
      </c>
      <c r="H15" s="49" t="n">
        <f aca="false">Assumptions!B39/12</f>
        <v>6916.66666666667</v>
      </c>
      <c r="I15" s="49" t="n">
        <f aca="false">Assumptions!B39/12</f>
        <v>6916.66666666667</v>
      </c>
      <c r="J15" s="49" t="n">
        <f aca="false">Assumptions!B39/12</f>
        <v>6916.66666666667</v>
      </c>
      <c r="K15" s="49" t="n">
        <f aca="false">Assumptions!B39/12</f>
        <v>6916.66666666667</v>
      </c>
      <c r="L15" s="49" t="n">
        <f aca="false">Assumptions!B39/12</f>
        <v>6916.66666666667</v>
      </c>
      <c r="M15" s="49" t="n">
        <f aca="false">Assumptions!B39/12</f>
        <v>6916.66666666667</v>
      </c>
      <c r="N15" s="49" t="n">
        <v>0</v>
      </c>
      <c r="O15" s="49" t="n">
        <v>0</v>
      </c>
      <c r="P15" s="49" t="n">
        <v>0</v>
      </c>
      <c r="Q15" s="49" t="n">
        <v>0</v>
      </c>
      <c r="R15" s="49" t="n">
        <v>0</v>
      </c>
      <c r="S15" s="49" t="n">
        <v>0</v>
      </c>
      <c r="T15" s="49" t="n">
        <v>0</v>
      </c>
      <c r="U15" s="49" t="n">
        <v>0</v>
      </c>
      <c r="V15" s="49" t="n">
        <v>0</v>
      </c>
      <c r="W15" s="49" t="n">
        <v>0</v>
      </c>
      <c r="X15" s="49" t="n">
        <v>0</v>
      </c>
      <c r="Y15" s="49" t="n">
        <v>0</v>
      </c>
      <c r="Z15" s="49" t="n">
        <v>0</v>
      </c>
      <c r="AA15" s="49" t="n">
        <v>0</v>
      </c>
      <c r="AB15" s="49" t="n">
        <v>0</v>
      </c>
      <c r="AC15" s="49" t="n">
        <v>0</v>
      </c>
      <c r="AD15" s="49" t="n">
        <v>0</v>
      </c>
      <c r="AE15" s="49" t="n">
        <v>0</v>
      </c>
      <c r="AF15" s="49" t="n">
        <v>0</v>
      </c>
      <c r="AG15" s="49" t="n">
        <v>0</v>
      </c>
      <c r="AH15" s="49" t="n">
        <v>0</v>
      </c>
      <c r="AI15" s="49" t="n">
        <v>0</v>
      </c>
      <c r="AJ15" s="49" t="n">
        <v>0</v>
      </c>
      <c r="AK15" s="49" t="n">
        <v>0</v>
      </c>
      <c r="AL15" s="49" t="n">
        <v>0</v>
      </c>
      <c r="AM15" s="49" t="n">
        <v>0</v>
      </c>
      <c r="AN15" s="49" t="n">
        <v>0</v>
      </c>
      <c r="AO15" s="49" t="n">
        <v>0</v>
      </c>
      <c r="AP15" s="49" t="n">
        <v>0</v>
      </c>
      <c r="AQ15" s="49" t="n">
        <v>0</v>
      </c>
      <c r="AR15" s="49" t="n">
        <v>0</v>
      </c>
      <c r="AS15" s="49" t="n">
        <v>0</v>
      </c>
      <c r="AT15" s="49" t="n">
        <v>0</v>
      </c>
      <c r="AU15" s="49" t="n">
        <v>0</v>
      </c>
      <c r="AV15" s="49" t="n">
        <v>0</v>
      </c>
      <c r="AW15" s="49" t="n">
        <v>0</v>
      </c>
      <c r="AX15" s="49" t="n">
        <v>0</v>
      </c>
      <c r="AY15" s="49" t="n">
        <v>0</v>
      </c>
      <c r="AZ15" s="50" t="n">
        <f aca="false">SUM(B15:AY15)</f>
        <v>83000</v>
      </c>
    </row>
    <row r="16" customFormat="false" ht="15" hidden="false" customHeight="true" outlineLevel="0" collapsed="false">
      <c r="A16" s="51" t="s">
        <v>408</v>
      </c>
      <c r="B16" s="52" t="n">
        <f aca="false">B14+B15</f>
        <v>43583.3333333333</v>
      </c>
      <c r="C16" s="52" t="n">
        <f aca="false">C14+C15</f>
        <v>43583.3333333333</v>
      </c>
      <c r="D16" s="52" t="n">
        <f aca="false">D14+D15</f>
        <v>43583.3333333333</v>
      </c>
      <c r="E16" s="52" t="n">
        <f aca="false">E14+E15</f>
        <v>43583.3333333333</v>
      </c>
      <c r="F16" s="52" t="n">
        <f aca="false">F14+F15</f>
        <v>43583.3333333333</v>
      </c>
      <c r="G16" s="52" t="n">
        <f aca="false">G14+G15</f>
        <v>43583.3333333333</v>
      </c>
      <c r="H16" s="52" t="n">
        <f aca="false">H14+H15</f>
        <v>43583.3333333333</v>
      </c>
      <c r="I16" s="52" t="n">
        <f aca="false">I14+I15</f>
        <v>43583.3333333333</v>
      </c>
      <c r="J16" s="52" t="n">
        <f aca="false">J14+J15</f>
        <v>43583.3333333333</v>
      </c>
      <c r="K16" s="52" t="n">
        <f aca="false">K14+K15</f>
        <v>43583.3333333333</v>
      </c>
      <c r="L16" s="52" t="n">
        <f aca="false">L14+L15</f>
        <v>43583.3333333333</v>
      </c>
      <c r="M16" s="52" t="n">
        <f aca="false">M14+M15</f>
        <v>43583.3333333333</v>
      </c>
      <c r="N16" s="52" t="n">
        <f aca="false">N14+N15</f>
        <v>36666.6666666667</v>
      </c>
      <c r="O16" s="52" t="n">
        <f aca="false">O14+O15</f>
        <v>36666.6666666667</v>
      </c>
      <c r="P16" s="52" t="n">
        <f aca="false">P14+P15</f>
        <v>36666.6666666667</v>
      </c>
      <c r="Q16" s="52" t="n">
        <f aca="false">Q14+Q15</f>
        <v>36666.6666666667</v>
      </c>
      <c r="R16" s="52" t="n">
        <f aca="false">R14+R15</f>
        <v>36666.6666666667</v>
      </c>
      <c r="S16" s="52" t="n">
        <f aca="false">S14+S15</f>
        <v>36666.6666666667</v>
      </c>
      <c r="T16" s="52" t="n">
        <f aca="false">T14+T15</f>
        <v>36666.6666666667</v>
      </c>
      <c r="U16" s="52" t="n">
        <f aca="false">U14+U15</f>
        <v>36666.6666666667</v>
      </c>
      <c r="V16" s="52" t="n">
        <f aca="false">V14+V15</f>
        <v>36666.6666666667</v>
      </c>
      <c r="W16" s="52" t="n">
        <f aca="false">W14+W15</f>
        <v>36666.6666666667</v>
      </c>
      <c r="X16" s="52" t="n">
        <f aca="false">X14+X15</f>
        <v>36666.6666666667</v>
      </c>
      <c r="Y16" s="52" t="n">
        <f aca="false">Y14+Y15</f>
        <v>36666.6666666667</v>
      </c>
      <c r="Z16" s="52" t="n">
        <f aca="false">Z14+Z15</f>
        <v>36666.6666666667</v>
      </c>
      <c r="AA16" s="52" t="n">
        <f aca="false">AA14+AA15</f>
        <v>36666.6666666667</v>
      </c>
      <c r="AB16" s="52" t="n">
        <f aca="false">AB14+AB15</f>
        <v>36666.6666666667</v>
      </c>
      <c r="AC16" s="52" t="n">
        <f aca="false">AC14+AC15</f>
        <v>36666.6666666667</v>
      </c>
      <c r="AD16" s="52" t="n">
        <f aca="false">AD14+AD15</f>
        <v>36666.6666666667</v>
      </c>
      <c r="AE16" s="52" t="n">
        <f aca="false">AE14+AE15</f>
        <v>36666.6666666667</v>
      </c>
      <c r="AF16" s="52" t="n">
        <f aca="false">AF14+AF15</f>
        <v>36666.6666666667</v>
      </c>
      <c r="AG16" s="52" t="n">
        <f aca="false">AG14+AG15</f>
        <v>36666.6666666667</v>
      </c>
      <c r="AH16" s="52" t="n">
        <f aca="false">AH14+AH15</f>
        <v>36666.6666666667</v>
      </c>
      <c r="AI16" s="52" t="n">
        <f aca="false">AI14+AI15</f>
        <v>36666.6666666667</v>
      </c>
      <c r="AJ16" s="52" t="n">
        <f aca="false">AJ14+AJ15</f>
        <v>36666.6666666667</v>
      </c>
      <c r="AK16" s="52" t="n">
        <f aca="false">AK14+AK15</f>
        <v>36666.6666666667</v>
      </c>
      <c r="AL16" s="52" t="n">
        <f aca="false">AL14+AL15</f>
        <v>0</v>
      </c>
      <c r="AM16" s="52" t="n">
        <f aca="false">AM14+AM15</f>
        <v>0</v>
      </c>
      <c r="AN16" s="52" t="n">
        <f aca="false">AN14+AN15</f>
        <v>0</v>
      </c>
      <c r="AO16" s="52" t="n">
        <f aca="false">AO14+AO15</f>
        <v>0</v>
      </c>
      <c r="AP16" s="52" t="n">
        <f aca="false">AP14+AP15</f>
        <v>0</v>
      </c>
      <c r="AQ16" s="52" t="n">
        <f aca="false">AQ14+AQ15</f>
        <v>0</v>
      </c>
      <c r="AR16" s="52" t="n">
        <f aca="false">AR14+AR15</f>
        <v>0</v>
      </c>
      <c r="AS16" s="52" t="n">
        <f aca="false">AS14+AS15</f>
        <v>0</v>
      </c>
      <c r="AT16" s="52" t="n">
        <f aca="false">AT14+AT15</f>
        <v>0</v>
      </c>
      <c r="AU16" s="52" t="n">
        <f aca="false">AU14+AU15</f>
        <v>0</v>
      </c>
      <c r="AV16" s="52" t="n">
        <f aca="false">AV14+AV15</f>
        <v>0</v>
      </c>
      <c r="AW16" s="52" t="n">
        <f aca="false">AW14+AW15</f>
        <v>0</v>
      </c>
      <c r="AX16" s="52" t="n">
        <f aca="false">AX14+AX15</f>
        <v>0</v>
      </c>
      <c r="AY16" s="52" t="n">
        <f aca="false">AY14+AY15</f>
        <v>0</v>
      </c>
      <c r="AZ16" s="52" t="n">
        <f aca="false">AZ14+AZ15</f>
        <v>1403000</v>
      </c>
    </row>
    <row r="17" customFormat="false" ht="18" hidden="false" customHeight="true" outlineLevel="0" collapsed="false">
      <c r="A17" s="4" t="s">
        <v>409</v>
      </c>
    </row>
    <row r="18" customFormat="false" ht="15" hidden="false" customHeight="true" outlineLevel="0" collapsed="false">
      <c r="A18" s="48" t="s">
        <v>410</v>
      </c>
      <c r="B18" s="49" t="n">
        <v>0</v>
      </c>
      <c r="C18" s="49" t="n">
        <v>0</v>
      </c>
      <c r="D18" s="49" t="n">
        <v>0</v>
      </c>
      <c r="E18" s="49" t="n">
        <v>0</v>
      </c>
      <c r="F18" s="49" t="n">
        <f aca="false">Assumptions!E14*(1-Assumptions!B60)/(18)</f>
        <v>490133.333333333</v>
      </c>
      <c r="G18" s="49" t="n">
        <f aca="false">Assumptions!E14*(1-Assumptions!B60)/(18)</f>
        <v>490133.333333333</v>
      </c>
      <c r="H18" s="49" t="n">
        <f aca="false">Assumptions!E14*(1-Assumptions!B60)/(18)</f>
        <v>490133.333333333</v>
      </c>
      <c r="I18" s="49" t="n">
        <f aca="false">Assumptions!E14*(1-Assumptions!B60)/(18)</f>
        <v>490133.333333333</v>
      </c>
      <c r="J18" s="49" t="n">
        <f aca="false">Assumptions!E14*(1-Assumptions!B60)/(18)</f>
        <v>490133.333333333</v>
      </c>
      <c r="K18" s="49" t="n">
        <f aca="false">Assumptions!E14*(1-Assumptions!B60)/(18)</f>
        <v>490133.333333333</v>
      </c>
      <c r="L18" s="49" t="n">
        <f aca="false">Assumptions!E14*(1-Assumptions!B60)/(18)</f>
        <v>490133.333333333</v>
      </c>
      <c r="M18" s="49" t="n">
        <f aca="false">Assumptions!E14*(1-Assumptions!B60)/(18)</f>
        <v>490133.333333333</v>
      </c>
      <c r="N18" s="49" t="n">
        <f aca="false">Assumptions!E14*(1-Assumptions!B60)/(18)</f>
        <v>490133.333333333</v>
      </c>
      <c r="O18" s="49" t="n">
        <f aca="false">Assumptions!E14*(1-Assumptions!B60)/(18)</f>
        <v>490133.333333333</v>
      </c>
      <c r="P18" s="49" t="n">
        <f aca="false">Assumptions!E14*(1-Assumptions!B60)/(18)</f>
        <v>490133.333333333</v>
      </c>
      <c r="Q18" s="49" t="n">
        <f aca="false">Assumptions!E14*(1-Assumptions!B60)/(18)</f>
        <v>490133.333333333</v>
      </c>
      <c r="R18" s="49" t="n">
        <f aca="false">Assumptions!E14*(1-Assumptions!B60)/(18)</f>
        <v>490133.333333333</v>
      </c>
      <c r="S18" s="49" t="n">
        <f aca="false">Assumptions!E14*(1-Assumptions!B60)/(18)</f>
        <v>490133.333333333</v>
      </c>
      <c r="T18" s="49" t="n">
        <f aca="false">Assumptions!E14*(1-Assumptions!B60)/(18)</f>
        <v>490133.333333333</v>
      </c>
      <c r="U18" s="49" t="n">
        <f aca="false">Assumptions!E14*(1-Assumptions!B60)/(18)</f>
        <v>490133.333333333</v>
      </c>
      <c r="V18" s="49" t="n">
        <f aca="false">Assumptions!E14*(1-Assumptions!B60)/(18)</f>
        <v>490133.333333333</v>
      </c>
      <c r="W18" s="49" t="n">
        <f aca="false">Assumptions!E14*(1-Assumptions!B60)/(18)</f>
        <v>490133.333333333</v>
      </c>
      <c r="X18" s="49" t="n">
        <v>0</v>
      </c>
      <c r="Y18" s="49" t="n">
        <v>0</v>
      </c>
      <c r="Z18" s="49" t="n">
        <v>0</v>
      </c>
      <c r="AA18" s="49" t="n">
        <v>0</v>
      </c>
      <c r="AB18" s="49" t="n">
        <v>0</v>
      </c>
      <c r="AC18" s="49" t="n">
        <v>0</v>
      </c>
      <c r="AD18" s="49" t="n">
        <v>0</v>
      </c>
      <c r="AE18" s="49" t="n">
        <v>0</v>
      </c>
      <c r="AF18" s="49" t="n">
        <v>0</v>
      </c>
      <c r="AG18" s="49" t="n">
        <v>0</v>
      </c>
      <c r="AH18" s="49" t="n">
        <v>0</v>
      </c>
      <c r="AI18" s="49" t="n">
        <v>0</v>
      </c>
      <c r="AJ18" s="49" t="n">
        <v>0</v>
      </c>
      <c r="AK18" s="49" t="n">
        <v>0</v>
      </c>
      <c r="AL18" s="49" t="n">
        <v>0</v>
      </c>
      <c r="AM18" s="49" t="n">
        <v>0</v>
      </c>
      <c r="AN18" s="49" t="n">
        <v>0</v>
      </c>
      <c r="AO18" s="49" t="n">
        <v>0</v>
      </c>
      <c r="AP18" s="49" t="n">
        <v>0</v>
      </c>
      <c r="AQ18" s="49" t="n">
        <v>0</v>
      </c>
      <c r="AR18" s="49" t="n">
        <v>0</v>
      </c>
      <c r="AS18" s="49" t="n">
        <v>0</v>
      </c>
      <c r="AT18" s="49" t="n">
        <v>0</v>
      </c>
      <c r="AU18" s="49" t="n">
        <v>0</v>
      </c>
      <c r="AV18" s="49" t="n">
        <v>0</v>
      </c>
      <c r="AW18" s="49" t="n">
        <v>0</v>
      </c>
      <c r="AX18" s="49" t="n">
        <v>0</v>
      </c>
      <c r="AY18" s="49" t="n">
        <v>0</v>
      </c>
      <c r="AZ18" s="50" t="n">
        <f aca="false">SUM(B18:AY18)</f>
        <v>8822400</v>
      </c>
    </row>
    <row r="19" customFormat="false" ht="15" hidden="false" customHeight="true" outlineLevel="0" collapsed="false">
      <c r="A19" s="48" t="s">
        <v>411</v>
      </c>
      <c r="B19" s="49" t="n">
        <v>0</v>
      </c>
      <c r="C19" s="49" t="n">
        <v>0</v>
      </c>
      <c r="D19" s="49" t="n">
        <v>0</v>
      </c>
      <c r="E19" s="49" t="n">
        <v>0</v>
      </c>
      <c r="F19" s="49" t="n">
        <f aca="false">Assumptions!E15*(1-Assumptions!B60)/(18)</f>
        <v>794666.666666667</v>
      </c>
      <c r="G19" s="49" t="n">
        <f aca="false">Assumptions!E15*(1-Assumptions!B60)/(18)</f>
        <v>794666.666666667</v>
      </c>
      <c r="H19" s="49" t="n">
        <f aca="false">Assumptions!E15*(1-Assumptions!B60)/(18)</f>
        <v>794666.666666667</v>
      </c>
      <c r="I19" s="49" t="n">
        <f aca="false">Assumptions!E15*(1-Assumptions!B60)/(18)</f>
        <v>794666.666666667</v>
      </c>
      <c r="J19" s="49" t="n">
        <f aca="false">Assumptions!E15*(1-Assumptions!B60)/(18)</f>
        <v>794666.666666667</v>
      </c>
      <c r="K19" s="49" t="n">
        <f aca="false">Assumptions!E15*(1-Assumptions!B60)/(18)</f>
        <v>794666.666666667</v>
      </c>
      <c r="L19" s="49" t="n">
        <f aca="false">Assumptions!E15*(1-Assumptions!B60)/(18)</f>
        <v>794666.666666667</v>
      </c>
      <c r="M19" s="49" t="n">
        <f aca="false">Assumptions!E15*(1-Assumptions!B60)/(18)</f>
        <v>794666.666666667</v>
      </c>
      <c r="N19" s="49" t="n">
        <f aca="false">Assumptions!E15*(1-Assumptions!B60)/(18)</f>
        <v>794666.666666667</v>
      </c>
      <c r="O19" s="49" t="n">
        <f aca="false">Assumptions!E15*(1-Assumptions!B60)/(18)</f>
        <v>794666.666666667</v>
      </c>
      <c r="P19" s="49" t="n">
        <f aca="false">Assumptions!E15*(1-Assumptions!B60)/(18)</f>
        <v>794666.666666667</v>
      </c>
      <c r="Q19" s="49" t="n">
        <f aca="false">Assumptions!E15*(1-Assumptions!B60)/(18)</f>
        <v>794666.666666667</v>
      </c>
      <c r="R19" s="49" t="n">
        <f aca="false">Assumptions!E15*(1-Assumptions!B60)/(18)</f>
        <v>794666.666666667</v>
      </c>
      <c r="S19" s="49" t="n">
        <f aca="false">Assumptions!E15*(1-Assumptions!B60)/(18)</f>
        <v>794666.666666667</v>
      </c>
      <c r="T19" s="49" t="n">
        <f aca="false">Assumptions!E15*(1-Assumptions!B60)/(18)</f>
        <v>794666.666666667</v>
      </c>
      <c r="U19" s="49" t="n">
        <f aca="false">Assumptions!E15*(1-Assumptions!B60)/(18)</f>
        <v>794666.666666667</v>
      </c>
      <c r="V19" s="49" t="n">
        <f aca="false">Assumptions!E15*(1-Assumptions!B60)/(18)</f>
        <v>794666.666666667</v>
      </c>
      <c r="W19" s="49" t="n">
        <f aca="false">Assumptions!E15*(1-Assumptions!B60)/(18)</f>
        <v>794666.666666667</v>
      </c>
      <c r="X19" s="49" t="n">
        <v>0</v>
      </c>
      <c r="Y19" s="49" t="n">
        <v>0</v>
      </c>
      <c r="Z19" s="49" t="n">
        <v>0</v>
      </c>
      <c r="AA19" s="49" t="n">
        <v>0</v>
      </c>
      <c r="AB19" s="49" t="n">
        <v>0</v>
      </c>
      <c r="AC19" s="49" t="n">
        <v>0</v>
      </c>
      <c r="AD19" s="49" t="n">
        <v>0</v>
      </c>
      <c r="AE19" s="49" t="n">
        <v>0</v>
      </c>
      <c r="AF19" s="49" t="n">
        <v>0</v>
      </c>
      <c r="AG19" s="49" t="n">
        <v>0</v>
      </c>
      <c r="AH19" s="49" t="n">
        <v>0</v>
      </c>
      <c r="AI19" s="49" t="n">
        <v>0</v>
      </c>
      <c r="AJ19" s="49" t="n">
        <v>0</v>
      </c>
      <c r="AK19" s="49" t="n">
        <v>0</v>
      </c>
      <c r="AL19" s="49" t="n">
        <v>0</v>
      </c>
      <c r="AM19" s="49" t="n">
        <v>0</v>
      </c>
      <c r="AN19" s="49" t="n">
        <v>0</v>
      </c>
      <c r="AO19" s="49" t="n">
        <v>0</v>
      </c>
      <c r="AP19" s="49" t="n">
        <v>0</v>
      </c>
      <c r="AQ19" s="49" t="n">
        <v>0</v>
      </c>
      <c r="AR19" s="49" t="n">
        <v>0</v>
      </c>
      <c r="AS19" s="49" t="n">
        <v>0</v>
      </c>
      <c r="AT19" s="49" t="n">
        <v>0</v>
      </c>
      <c r="AU19" s="49" t="n">
        <v>0</v>
      </c>
      <c r="AV19" s="49" t="n">
        <v>0</v>
      </c>
      <c r="AW19" s="49" t="n">
        <v>0</v>
      </c>
      <c r="AX19" s="49" t="n">
        <v>0</v>
      </c>
      <c r="AY19" s="49" t="n">
        <v>0</v>
      </c>
      <c r="AZ19" s="50" t="n">
        <f aca="false">SUM(B19:AY19)</f>
        <v>14304000</v>
      </c>
    </row>
    <row r="20" customFormat="false" ht="15" hidden="false" customHeight="true" outlineLevel="0" collapsed="false">
      <c r="A20" s="48" t="s">
        <v>412</v>
      </c>
      <c r="B20" s="49" t="n">
        <v>0</v>
      </c>
      <c r="C20" s="49" t="n">
        <v>0</v>
      </c>
      <c r="D20" s="49" t="n">
        <v>0</v>
      </c>
      <c r="E20" s="49" t="n">
        <v>0</v>
      </c>
      <c r="F20" s="49" t="n">
        <f aca="false">Assumptions!E16*(1-Assumptions!B60)/(18)</f>
        <v>816023.306666667</v>
      </c>
      <c r="G20" s="49" t="n">
        <f aca="false">Assumptions!E16*(1-Assumptions!B60)/(18)</f>
        <v>816023.306666667</v>
      </c>
      <c r="H20" s="49" t="n">
        <f aca="false">Assumptions!E16*(1-Assumptions!B60)/(18)</f>
        <v>816023.306666667</v>
      </c>
      <c r="I20" s="49" t="n">
        <f aca="false">Assumptions!E16*(1-Assumptions!B60)/(18)</f>
        <v>816023.306666667</v>
      </c>
      <c r="J20" s="49" t="n">
        <f aca="false">Assumptions!E16*(1-Assumptions!B60)/(18)</f>
        <v>816023.306666667</v>
      </c>
      <c r="K20" s="49" t="n">
        <f aca="false">Assumptions!E16*(1-Assumptions!B60)/(18)</f>
        <v>816023.306666667</v>
      </c>
      <c r="L20" s="49" t="n">
        <f aca="false">Assumptions!E16*(1-Assumptions!B60)/(18)</f>
        <v>816023.306666667</v>
      </c>
      <c r="M20" s="49" t="n">
        <f aca="false">Assumptions!E16*(1-Assumptions!B60)/(18)</f>
        <v>816023.306666667</v>
      </c>
      <c r="N20" s="49" t="n">
        <f aca="false">Assumptions!E16*(1-Assumptions!B60)/(18)</f>
        <v>816023.306666667</v>
      </c>
      <c r="O20" s="49" t="n">
        <f aca="false">Assumptions!E16*(1-Assumptions!B60)/(18)</f>
        <v>816023.306666667</v>
      </c>
      <c r="P20" s="49" t="n">
        <f aca="false">Assumptions!E16*(1-Assumptions!B60)/(18)</f>
        <v>816023.306666667</v>
      </c>
      <c r="Q20" s="49" t="n">
        <f aca="false">Assumptions!E16*(1-Assumptions!B60)/(18)</f>
        <v>816023.306666667</v>
      </c>
      <c r="R20" s="49" t="n">
        <f aca="false">Assumptions!E16*(1-Assumptions!B60)/(18)</f>
        <v>816023.306666667</v>
      </c>
      <c r="S20" s="49" t="n">
        <f aca="false">Assumptions!E16*(1-Assumptions!B60)/(18)</f>
        <v>816023.306666667</v>
      </c>
      <c r="T20" s="49" t="n">
        <f aca="false">Assumptions!E16*(1-Assumptions!B60)/(18)</f>
        <v>816023.306666667</v>
      </c>
      <c r="U20" s="49" t="n">
        <f aca="false">Assumptions!E16*(1-Assumptions!B60)/(18)</f>
        <v>816023.306666667</v>
      </c>
      <c r="V20" s="49" t="n">
        <f aca="false">Assumptions!E16*(1-Assumptions!B60)/(18)</f>
        <v>816023.306666667</v>
      </c>
      <c r="W20" s="49" t="n">
        <f aca="false">Assumptions!E16*(1-Assumptions!B60)/(18)</f>
        <v>816023.306666667</v>
      </c>
      <c r="X20" s="49" t="n">
        <v>0</v>
      </c>
      <c r="Y20" s="49" t="n">
        <v>0</v>
      </c>
      <c r="Z20" s="49" t="n">
        <v>0</v>
      </c>
      <c r="AA20" s="49" t="n">
        <v>0</v>
      </c>
      <c r="AB20" s="49" t="n">
        <v>0</v>
      </c>
      <c r="AC20" s="49" t="n">
        <v>0</v>
      </c>
      <c r="AD20" s="49" t="n">
        <v>0</v>
      </c>
      <c r="AE20" s="49" t="n">
        <v>0</v>
      </c>
      <c r="AF20" s="49" t="n">
        <v>0</v>
      </c>
      <c r="AG20" s="49" t="n">
        <v>0</v>
      </c>
      <c r="AH20" s="49" t="n">
        <v>0</v>
      </c>
      <c r="AI20" s="49" t="n">
        <v>0</v>
      </c>
      <c r="AJ20" s="49" t="n">
        <v>0</v>
      </c>
      <c r="AK20" s="49" t="n">
        <v>0</v>
      </c>
      <c r="AL20" s="49" t="n">
        <v>0</v>
      </c>
      <c r="AM20" s="49" t="n">
        <v>0</v>
      </c>
      <c r="AN20" s="49" t="n">
        <v>0</v>
      </c>
      <c r="AO20" s="49" t="n">
        <v>0</v>
      </c>
      <c r="AP20" s="49" t="n">
        <v>0</v>
      </c>
      <c r="AQ20" s="49" t="n">
        <v>0</v>
      </c>
      <c r="AR20" s="49" t="n">
        <v>0</v>
      </c>
      <c r="AS20" s="49" t="n">
        <v>0</v>
      </c>
      <c r="AT20" s="49" t="n">
        <v>0</v>
      </c>
      <c r="AU20" s="49" t="n">
        <v>0</v>
      </c>
      <c r="AV20" s="49" t="n">
        <v>0</v>
      </c>
      <c r="AW20" s="49" t="n">
        <v>0</v>
      </c>
      <c r="AX20" s="49" t="n">
        <v>0</v>
      </c>
      <c r="AY20" s="49" t="n">
        <v>0</v>
      </c>
      <c r="AZ20" s="50" t="n">
        <f aca="false">SUM(B20:AY20)</f>
        <v>14688419.52</v>
      </c>
    </row>
    <row r="21" customFormat="false" ht="15" hidden="false" customHeight="true" outlineLevel="0" collapsed="false">
      <c r="A21" s="53" t="s">
        <v>413</v>
      </c>
      <c r="B21" s="54" t="n">
        <f aca="false">B18+B19+B20</f>
        <v>0</v>
      </c>
      <c r="C21" s="54" t="n">
        <f aca="false">C18+C19+C20</f>
        <v>0</v>
      </c>
      <c r="D21" s="54" t="n">
        <f aca="false">D18+D19+D20</f>
        <v>0</v>
      </c>
      <c r="E21" s="54" t="n">
        <f aca="false">E18+E19+E20</f>
        <v>0</v>
      </c>
      <c r="F21" s="54" t="n">
        <f aca="false">F18+F19+F20</f>
        <v>2100823.30666667</v>
      </c>
      <c r="G21" s="54" t="n">
        <f aca="false">G18+G19+G20</f>
        <v>2100823.30666667</v>
      </c>
      <c r="H21" s="54" t="n">
        <f aca="false">H18+H19+H20</f>
        <v>2100823.30666667</v>
      </c>
      <c r="I21" s="54" t="n">
        <f aca="false">I18+I19+I20</f>
        <v>2100823.30666667</v>
      </c>
      <c r="J21" s="54" t="n">
        <f aca="false">J18+J19+J20</f>
        <v>2100823.30666667</v>
      </c>
      <c r="K21" s="54" t="n">
        <f aca="false">K18+K19+K20</f>
        <v>2100823.30666667</v>
      </c>
      <c r="L21" s="54" t="n">
        <f aca="false">L18+L19+L20</f>
        <v>2100823.30666667</v>
      </c>
      <c r="M21" s="54" t="n">
        <f aca="false">M18+M19+M20</f>
        <v>2100823.30666667</v>
      </c>
      <c r="N21" s="54" t="n">
        <f aca="false">N18+N19+N20</f>
        <v>2100823.30666667</v>
      </c>
      <c r="O21" s="54" t="n">
        <f aca="false">O18+O19+O20</f>
        <v>2100823.30666667</v>
      </c>
      <c r="P21" s="54" t="n">
        <f aca="false">P18+P19+P20</f>
        <v>2100823.30666667</v>
      </c>
      <c r="Q21" s="54" t="n">
        <f aca="false">Q18+Q19+Q20</f>
        <v>2100823.30666667</v>
      </c>
      <c r="R21" s="54" t="n">
        <f aca="false">R18+R19+R20</f>
        <v>2100823.30666667</v>
      </c>
      <c r="S21" s="54" t="n">
        <f aca="false">S18+S19+S20</f>
        <v>2100823.30666667</v>
      </c>
      <c r="T21" s="54" t="n">
        <f aca="false">T18+T19+T20</f>
        <v>2100823.30666667</v>
      </c>
      <c r="U21" s="54" t="n">
        <f aca="false">U18+U19+U20</f>
        <v>2100823.30666667</v>
      </c>
      <c r="V21" s="54" t="n">
        <f aca="false">V18+V19+V20</f>
        <v>2100823.30666667</v>
      </c>
      <c r="W21" s="54" t="n">
        <f aca="false">W18+W19+W20</f>
        <v>2100823.30666667</v>
      </c>
      <c r="X21" s="54" t="n">
        <f aca="false">X18+X19+X20</f>
        <v>0</v>
      </c>
      <c r="Y21" s="54" t="n">
        <f aca="false">Y18+Y19+Y20</f>
        <v>0</v>
      </c>
      <c r="Z21" s="54" t="n">
        <f aca="false">Z18+Z19+Z20</f>
        <v>0</v>
      </c>
      <c r="AA21" s="54" t="n">
        <f aca="false">AA18+AA19+AA20</f>
        <v>0</v>
      </c>
      <c r="AB21" s="54" t="n">
        <f aca="false">AB18+AB19+AB20</f>
        <v>0</v>
      </c>
      <c r="AC21" s="54" t="n">
        <f aca="false">AC18+AC19+AC20</f>
        <v>0</v>
      </c>
      <c r="AD21" s="54" t="n">
        <f aca="false">AD18+AD19+AD20</f>
        <v>0</v>
      </c>
      <c r="AE21" s="54" t="n">
        <f aca="false">AE18+AE19+AE20</f>
        <v>0</v>
      </c>
      <c r="AF21" s="54" t="n">
        <f aca="false">AF18+AF19+AF20</f>
        <v>0</v>
      </c>
      <c r="AG21" s="54" t="n">
        <f aca="false">AG18+AG19+AG20</f>
        <v>0</v>
      </c>
      <c r="AH21" s="54" t="n">
        <f aca="false">AH18+AH19+AH20</f>
        <v>0</v>
      </c>
      <c r="AI21" s="54" t="n">
        <f aca="false">AI18+AI19+AI20</f>
        <v>0</v>
      </c>
      <c r="AJ21" s="54" t="n">
        <f aca="false">AJ18+AJ19+AJ20</f>
        <v>0</v>
      </c>
      <c r="AK21" s="54" t="n">
        <f aca="false">AK18+AK19+AK20</f>
        <v>0</v>
      </c>
      <c r="AL21" s="54" t="n">
        <f aca="false">AL18+AL19+AL20</f>
        <v>0</v>
      </c>
      <c r="AM21" s="54" t="n">
        <f aca="false">AM18+AM19+AM20</f>
        <v>0</v>
      </c>
      <c r="AN21" s="54" t="n">
        <f aca="false">AN18+AN19+AN20</f>
        <v>0</v>
      </c>
      <c r="AO21" s="54" t="n">
        <f aca="false">AO18+AO19+AO20</f>
        <v>0</v>
      </c>
      <c r="AP21" s="54" t="n">
        <f aca="false">AP18+AP19+AP20</f>
        <v>0</v>
      </c>
      <c r="AQ21" s="54" t="n">
        <f aca="false">AQ18+AQ19+AQ20</f>
        <v>0</v>
      </c>
      <c r="AR21" s="54" t="n">
        <f aca="false">AR18+AR19+AR20</f>
        <v>0</v>
      </c>
      <c r="AS21" s="54" t="n">
        <f aca="false">AS18+AS19+AS20</f>
        <v>0</v>
      </c>
      <c r="AT21" s="54" t="n">
        <f aca="false">AT18+AT19+AT20</f>
        <v>0</v>
      </c>
      <c r="AU21" s="54" t="n">
        <f aca="false">AU18+AU19+AU20</f>
        <v>0</v>
      </c>
      <c r="AV21" s="54" t="n">
        <f aca="false">AV18+AV19+AV20</f>
        <v>0</v>
      </c>
      <c r="AW21" s="54" t="n">
        <f aca="false">AW18+AW19+AW20</f>
        <v>0</v>
      </c>
      <c r="AX21" s="54" t="n">
        <f aca="false">AX18+AX19+AX20</f>
        <v>0</v>
      </c>
      <c r="AY21" s="54" t="n">
        <f aca="false">AY18+AY19+AY20</f>
        <v>0</v>
      </c>
      <c r="AZ21" s="54" t="n">
        <f aca="false">AZ18+AZ19+AZ20</f>
        <v>37814819.52</v>
      </c>
    </row>
    <row r="22" customFormat="false" ht="18" hidden="false" customHeight="true" outlineLevel="0" collapsed="false">
      <c r="A22" s="4" t="s">
        <v>304</v>
      </c>
    </row>
    <row r="23" customFormat="false" ht="15" hidden="false" customHeight="true" outlineLevel="0" collapsed="false">
      <c r="A23" s="48" t="s">
        <v>414</v>
      </c>
      <c r="B23" s="55" t="n">
        <v>0</v>
      </c>
      <c r="C23" s="55" t="n">
        <v>0</v>
      </c>
      <c r="D23" s="55" t="n">
        <v>0</v>
      </c>
      <c r="E23" s="55" t="n">
        <v>0</v>
      </c>
      <c r="F23" s="55" t="n">
        <v>0</v>
      </c>
      <c r="G23" s="55" t="n">
        <v>0</v>
      </c>
      <c r="H23" s="55" t="n">
        <v>0</v>
      </c>
      <c r="I23" s="55" t="n">
        <v>0</v>
      </c>
      <c r="J23" s="55" t="n">
        <v>0</v>
      </c>
      <c r="K23" s="55" t="n">
        <v>0</v>
      </c>
      <c r="L23" s="55" t="n">
        <v>0</v>
      </c>
      <c r="M23" s="55" t="n">
        <v>0</v>
      </c>
      <c r="N23" s="55" t="n">
        <v>0</v>
      </c>
      <c r="O23" s="55" t="n">
        <v>0</v>
      </c>
      <c r="P23" s="55" t="n">
        <f aca="false">Assumptions!B43*0.5</f>
        <v>11700000</v>
      </c>
      <c r="Q23" s="55" t="n">
        <v>0</v>
      </c>
      <c r="R23" s="55" t="n">
        <v>0</v>
      </c>
      <c r="S23" s="55" t="n">
        <v>0</v>
      </c>
      <c r="T23" s="55" t="n">
        <v>0</v>
      </c>
      <c r="U23" s="55" t="n">
        <v>0</v>
      </c>
      <c r="V23" s="55" t="n">
        <v>0</v>
      </c>
      <c r="W23" s="55" t="n">
        <v>0</v>
      </c>
      <c r="X23" s="55" t="n">
        <v>0</v>
      </c>
      <c r="Y23" s="55" t="n">
        <v>0</v>
      </c>
      <c r="Z23" s="55" t="n">
        <v>0</v>
      </c>
      <c r="AA23" s="55" t="n">
        <v>0</v>
      </c>
      <c r="AB23" s="55" t="n">
        <v>0</v>
      </c>
      <c r="AC23" s="55" t="n">
        <v>0</v>
      </c>
      <c r="AD23" s="55" t="n">
        <v>0</v>
      </c>
      <c r="AE23" s="55" t="n">
        <v>0</v>
      </c>
      <c r="AF23" s="55" t="n">
        <v>0</v>
      </c>
      <c r="AG23" s="55" t="n">
        <v>0</v>
      </c>
      <c r="AH23" s="55" t="n">
        <v>0</v>
      </c>
      <c r="AI23" s="55" t="n">
        <v>0</v>
      </c>
      <c r="AJ23" s="55" t="n">
        <v>0</v>
      </c>
      <c r="AK23" s="55" t="n">
        <v>0</v>
      </c>
      <c r="AL23" s="55" t="n">
        <v>0</v>
      </c>
      <c r="AM23" s="55" t="n">
        <v>0</v>
      </c>
      <c r="AN23" s="55" t="n">
        <v>0</v>
      </c>
      <c r="AO23" s="55" t="n">
        <v>0</v>
      </c>
      <c r="AP23" s="55" t="n">
        <v>0</v>
      </c>
      <c r="AQ23" s="55" t="n">
        <v>0</v>
      </c>
      <c r="AR23" s="55" t="n">
        <v>0</v>
      </c>
      <c r="AS23" s="55" t="n">
        <v>0</v>
      </c>
      <c r="AT23" s="55" t="n">
        <v>0</v>
      </c>
      <c r="AU23" s="55" t="n">
        <v>0</v>
      </c>
      <c r="AV23" s="55" t="n">
        <v>0</v>
      </c>
      <c r="AW23" s="55" t="n">
        <v>0</v>
      </c>
      <c r="AX23" s="55" t="n">
        <v>0</v>
      </c>
      <c r="AY23" s="55" t="n">
        <v>0</v>
      </c>
      <c r="AZ23" s="50" t="n">
        <f aca="false">SUM(B23:AY23)</f>
        <v>11700000</v>
      </c>
    </row>
    <row r="24" customFormat="false" ht="15" hidden="false" customHeight="true" outlineLevel="0" collapsed="false">
      <c r="A24" s="48" t="s">
        <v>415</v>
      </c>
      <c r="B24" s="49" t="n">
        <v>0</v>
      </c>
      <c r="C24" s="49" t="n">
        <v>0</v>
      </c>
      <c r="D24" s="49" t="n">
        <v>0</v>
      </c>
      <c r="E24" s="49" t="n">
        <v>0</v>
      </c>
      <c r="F24" s="49" t="n">
        <v>0</v>
      </c>
      <c r="G24" s="49" t="n">
        <v>0</v>
      </c>
      <c r="H24" s="49" t="n">
        <v>0</v>
      </c>
      <c r="I24" s="49" t="n">
        <v>0</v>
      </c>
      <c r="J24" s="49" t="n">
        <v>0</v>
      </c>
      <c r="K24" s="49" t="n">
        <v>0</v>
      </c>
      <c r="L24" s="49" t="n">
        <v>0</v>
      </c>
      <c r="M24" s="49" t="n">
        <v>0</v>
      </c>
      <c r="N24" s="49" t="n">
        <v>0</v>
      </c>
      <c r="O24" s="49" t="n">
        <v>0</v>
      </c>
      <c r="P24" s="49" t="n">
        <v>0</v>
      </c>
      <c r="Q24" s="49" t="n">
        <v>0</v>
      </c>
      <c r="R24" s="49" t="n">
        <v>0</v>
      </c>
      <c r="S24" s="49" t="n">
        <v>0</v>
      </c>
      <c r="T24" s="49" t="n">
        <v>0</v>
      </c>
      <c r="U24" s="49" t="n">
        <v>0</v>
      </c>
      <c r="V24" s="55" t="n">
        <f aca="false">Assumptions!B43*0.5</f>
        <v>11700000</v>
      </c>
      <c r="W24" s="49" t="n">
        <v>0</v>
      </c>
      <c r="X24" s="49" t="n">
        <v>0</v>
      </c>
      <c r="Y24" s="49" t="n">
        <v>0</v>
      </c>
      <c r="Z24" s="49" t="n">
        <v>0</v>
      </c>
      <c r="AA24" s="49" t="n">
        <v>0</v>
      </c>
      <c r="AB24" s="49" t="n">
        <v>0</v>
      </c>
      <c r="AC24" s="49" t="n">
        <v>0</v>
      </c>
      <c r="AD24" s="49" t="n">
        <v>0</v>
      </c>
      <c r="AE24" s="49" t="n">
        <v>0</v>
      </c>
      <c r="AF24" s="49" t="n">
        <v>0</v>
      </c>
      <c r="AG24" s="49" t="n">
        <v>0</v>
      </c>
      <c r="AH24" s="49" t="n">
        <v>0</v>
      </c>
      <c r="AI24" s="49" t="n">
        <v>0</v>
      </c>
      <c r="AJ24" s="49" t="n">
        <v>0</v>
      </c>
      <c r="AK24" s="49" t="n">
        <v>0</v>
      </c>
      <c r="AL24" s="49" t="n">
        <v>0</v>
      </c>
      <c r="AM24" s="49" t="n">
        <v>0</v>
      </c>
      <c r="AN24" s="49" t="n">
        <v>0</v>
      </c>
      <c r="AO24" s="49" t="n">
        <v>0</v>
      </c>
      <c r="AP24" s="49" t="n">
        <v>0</v>
      </c>
      <c r="AQ24" s="49" t="n">
        <v>0</v>
      </c>
      <c r="AR24" s="49" t="n">
        <v>0</v>
      </c>
      <c r="AS24" s="49" t="n">
        <v>0</v>
      </c>
      <c r="AT24" s="49" t="n">
        <v>0</v>
      </c>
      <c r="AU24" s="49" t="n">
        <v>0</v>
      </c>
      <c r="AV24" s="49" t="n">
        <v>0</v>
      </c>
      <c r="AW24" s="49" t="n">
        <v>0</v>
      </c>
      <c r="AX24" s="49" t="n">
        <v>0</v>
      </c>
      <c r="AY24" s="49" t="n">
        <v>0</v>
      </c>
      <c r="AZ24" s="50" t="n">
        <f aca="false">SUM(B24:AY24)</f>
        <v>11700000</v>
      </c>
    </row>
    <row r="25" customFormat="false" ht="15" hidden="false" customHeight="true" outlineLevel="0" collapsed="false">
      <c r="A25" s="56" t="s">
        <v>416</v>
      </c>
      <c r="B25" s="57" t="n">
        <f aca="false">B23+B24</f>
        <v>0</v>
      </c>
      <c r="C25" s="57" t="n">
        <f aca="false">C23+C24</f>
        <v>0</v>
      </c>
      <c r="D25" s="57" t="n">
        <f aca="false">D23+D24</f>
        <v>0</v>
      </c>
      <c r="E25" s="57" t="n">
        <f aca="false">E23+E24</f>
        <v>0</v>
      </c>
      <c r="F25" s="57" t="n">
        <f aca="false">F23+F24</f>
        <v>0</v>
      </c>
      <c r="G25" s="57" t="n">
        <f aca="false">G23+G24</f>
        <v>0</v>
      </c>
      <c r="H25" s="57" t="n">
        <f aca="false">H23+H24</f>
        <v>0</v>
      </c>
      <c r="I25" s="57" t="n">
        <f aca="false">I23+I24</f>
        <v>0</v>
      </c>
      <c r="J25" s="57" t="n">
        <f aca="false">J23+J24</f>
        <v>0</v>
      </c>
      <c r="K25" s="57" t="n">
        <f aca="false">K23+K24</f>
        <v>0</v>
      </c>
      <c r="L25" s="57" t="n">
        <f aca="false">L23+L24</f>
        <v>0</v>
      </c>
      <c r="M25" s="57" t="n">
        <f aca="false">M23+M24</f>
        <v>0</v>
      </c>
      <c r="N25" s="57" t="n">
        <f aca="false">N23+N24</f>
        <v>0</v>
      </c>
      <c r="O25" s="57" t="n">
        <f aca="false">O23+O24</f>
        <v>0</v>
      </c>
      <c r="P25" s="57" t="n">
        <f aca="false">P23+P24</f>
        <v>11700000</v>
      </c>
      <c r="Q25" s="57" t="n">
        <f aca="false">Q23+Q24</f>
        <v>0</v>
      </c>
      <c r="R25" s="57" t="n">
        <f aca="false">R23+R24</f>
        <v>0</v>
      </c>
      <c r="S25" s="57" t="n">
        <f aca="false">S23+S24</f>
        <v>0</v>
      </c>
      <c r="T25" s="57" t="n">
        <f aca="false">T23+T24</f>
        <v>0</v>
      </c>
      <c r="U25" s="57" t="n">
        <f aca="false">U23+U24</f>
        <v>0</v>
      </c>
      <c r="V25" s="57" t="n">
        <f aca="false">V23+V24</f>
        <v>11700000</v>
      </c>
      <c r="W25" s="57" t="n">
        <f aca="false">W23+W24</f>
        <v>0</v>
      </c>
      <c r="X25" s="57" t="n">
        <f aca="false">X23+X24</f>
        <v>0</v>
      </c>
      <c r="Y25" s="57" t="n">
        <f aca="false">Y23+Y24</f>
        <v>0</v>
      </c>
      <c r="Z25" s="57" t="n">
        <f aca="false">Z23+Z24</f>
        <v>0</v>
      </c>
      <c r="AA25" s="57" t="n">
        <f aca="false">AA23+AA24</f>
        <v>0</v>
      </c>
      <c r="AB25" s="57" t="n">
        <f aca="false">AB23+AB24</f>
        <v>0</v>
      </c>
      <c r="AC25" s="57" t="n">
        <f aca="false">AC23+AC24</f>
        <v>0</v>
      </c>
      <c r="AD25" s="57" t="n">
        <f aca="false">AD23+AD24</f>
        <v>0</v>
      </c>
      <c r="AE25" s="57" t="n">
        <f aca="false">AE23+AE24</f>
        <v>0</v>
      </c>
      <c r="AF25" s="57" t="n">
        <f aca="false">AF23+AF24</f>
        <v>0</v>
      </c>
      <c r="AG25" s="57" t="n">
        <f aca="false">AG23+AG24</f>
        <v>0</v>
      </c>
      <c r="AH25" s="57" t="n">
        <f aca="false">AH23+AH24</f>
        <v>0</v>
      </c>
      <c r="AI25" s="57" t="n">
        <f aca="false">AI23+AI24</f>
        <v>0</v>
      </c>
      <c r="AJ25" s="57" t="n">
        <f aca="false">AJ23+AJ24</f>
        <v>0</v>
      </c>
      <c r="AK25" s="57" t="n">
        <f aca="false">AK23+AK24</f>
        <v>0</v>
      </c>
      <c r="AL25" s="57" t="n">
        <f aca="false">AL23+AL24</f>
        <v>0</v>
      </c>
      <c r="AM25" s="57" t="n">
        <f aca="false">AM23+AM24</f>
        <v>0</v>
      </c>
      <c r="AN25" s="57" t="n">
        <f aca="false">AN23+AN24</f>
        <v>0</v>
      </c>
      <c r="AO25" s="57" t="n">
        <f aca="false">AO23+AO24</f>
        <v>0</v>
      </c>
      <c r="AP25" s="57" t="n">
        <f aca="false">AP23+AP24</f>
        <v>0</v>
      </c>
      <c r="AQ25" s="57" t="n">
        <f aca="false">AQ23+AQ24</f>
        <v>0</v>
      </c>
      <c r="AR25" s="57" t="n">
        <f aca="false">AR23+AR24</f>
        <v>0</v>
      </c>
      <c r="AS25" s="57" t="n">
        <f aca="false">AS23+AS24</f>
        <v>0</v>
      </c>
      <c r="AT25" s="57" t="n">
        <f aca="false">AT23+AT24</f>
        <v>0</v>
      </c>
      <c r="AU25" s="57" t="n">
        <f aca="false">AU23+AU24</f>
        <v>0</v>
      </c>
      <c r="AV25" s="57" t="n">
        <f aca="false">AV23+AV24</f>
        <v>0</v>
      </c>
      <c r="AW25" s="57" t="n">
        <f aca="false">AW23+AW24</f>
        <v>0</v>
      </c>
      <c r="AX25" s="57" t="n">
        <f aca="false">AX23+AX24</f>
        <v>0</v>
      </c>
      <c r="AY25" s="57" t="n">
        <f aca="false">AY23+AY24</f>
        <v>0</v>
      </c>
      <c r="AZ25" s="57" t="n">
        <f aca="false">AZ23+AZ24</f>
        <v>23400000</v>
      </c>
    </row>
    <row r="26" customFormat="false" ht="18" hidden="false" customHeight="true" outlineLevel="0" collapsed="false">
      <c r="A26" s="58" t="s">
        <v>417</v>
      </c>
    </row>
    <row r="27" customFormat="false" ht="15" hidden="false" customHeight="true" outlineLevel="0" collapsed="false">
      <c r="A27" s="51" t="s">
        <v>418</v>
      </c>
      <c r="B27" s="52" t="n">
        <f aca="false">B21+B25-B12-B16</f>
        <v>-742617.333333333</v>
      </c>
      <c r="C27" s="52" t="n">
        <f aca="false">C21+C25-C12-C16</f>
        <v>-944499.68627451</v>
      </c>
      <c r="D27" s="52" t="n">
        <f aca="false">D21+D25-D12-D16</f>
        <v>-944499.68627451</v>
      </c>
      <c r="E27" s="52" t="n">
        <f aca="false">E21+E25-E12-E16</f>
        <v>-944499.68627451</v>
      </c>
      <c r="F27" s="52" t="n">
        <f aca="false">F21+F25-F12-F16</f>
        <v>1156323.62039216</v>
      </c>
      <c r="G27" s="52" t="n">
        <f aca="false">G21+G25-G12-G16</f>
        <v>952403.620392157</v>
      </c>
      <c r="H27" s="52" t="n">
        <f aca="false">H21+H25-H12-H16</f>
        <v>952403.620392157</v>
      </c>
      <c r="I27" s="52" t="n">
        <f aca="false">I21+I25-I12-I16</f>
        <v>952403.620392157</v>
      </c>
      <c r="J27" s="52" t="n">
        <f aca="false">J21+J25-J12-J16</f>
        <v>952403.620392157</v>
      </c>
      <c r="K27" s="52" t="n">
        <f aca="false">K21+K25-K12-K16</f>
        <v>952403.620392157</v>
      </c>
      <c r="L27" s="52" t="n">
        <f aca="false">L21+L25-L12-L16</f>
        <v>952403.620392157</v>
      </c>
      <c r="M27" s="52" t="n">
        <f aca="false">M21+M25-M12-M16</f>
        <v>952403.620392157</v>
      </c>
      <c r="N27" s="52" t="n">
        <f aca="false">N21+N25-N12-N16</f>
        <v>1125403.62039216</v>
      </c>
      <c r="O27" s="52" t="n">
        <f aca="false">O21+O25-O12-O16</f>
        <v>1125403.62039216</v>
      </c>
      <c r="P27" s="52" t="n">
        <f aca="false">P21+P25-P12-P16</f>
        <v>12825403.6203922</v>
      </c>
      <c r="Q27" s="52" t="n">
        <f aca="false">Q21+Q25-Q12-Q16</f>
        <v>1125403.62039216</v>
      </c>
      <c r="R27" s="52" t="n">
        <f aca="false">R21+R25-R12-R16</f>
        <v>1125403.62039216</v>
      </c>
      <c r="S27" s="52" t="n">
        <f aca="false">S21+S25-S12-S16</f>
        <v>1125403.62039216</v>
      </c>
      <c r="T27" s="52" t="n">
        <f aca="false">T21+T25-T12-T16</f>
        <v>1327285.97333333</v>
      </c>
      <c r="U27" s="52" t="n">
        <f aca="false">U21+U25-U12-U16</f>
        <v>1327285.97333333</v>
      </c>
      <c r="V27" s="52" t="n">
        <f aca="false">V21+V25-V12-V16</f>
        <v>13027285.9733333</v>
      </c>
      <c r="W27" s="52" t="n">
        <f aca="false">W21+W25-W12-W16</f>
        <v>1327285.97333333</v>
      </c>
      <c r="X27" s="52" t="n">
        <f aca="false">X21+X25-X12-X16</f>
        <v>-773537.333333333</v>
      </c>
      <c r="Y27" s="52" t="n">
        <f aca="false">Y21+Y25-Y12-Y16</f>
        <v>-773537.333333333</v>
      </c>
      <c r="Z27" s="52" t="n">
        <f aca="false">Z21+Z25-Z12-Z16</f>
        <v>-251579</v>
      </c>
      <c r="AA27" s="52" t="n">
        <f aca="false">AA21+AA25-AA12-AA16</f>
        <v>-251579</v>
      </c>
      <c r="AB27" s="52" t="n">
        <f aca="false">AB21+AB25-AB12-AB16</f>
        <v>-251579</v>
      </c>
      <c r="AC27" s="52" t="n">
        <f aca="false">AC21+AC25-AC12-AC16</f>
        <v>-251579</v>
      </c>
      <c r="AD27" s="52" t="n">
        <f aca="false">AD21+AD25-AD12-AD16</f>
        <v>-251579</v>
      </c>
      <c r="AE27" s="52" t="n">
        <f aca="false">AE21+AE25-AE12-AE16</f>
        <v>-251579</v>
      </c>
      <c r="AF27" s="52" t="n">
        <f aca="false">AF21+AF25-AF12-AF16</f>
        <v>-47659</v>
      </c>
      <c r="AG27" s="52" t="n">
        <f aca="false">AG21+AG25-AG12-AG16</f>
        <v>-47659</v>
      </c>
      <c r="AH27" s="52" t="n">
        <f aca="false">AH21+AH25-AH12-AH16</f>
        <v>-47659</v>
      </c>
      <c r="AI27" s="52" t="n">
        <f aca="false">AI21+AI25-AI12-AI16</f>
        <v>-47659</v>
      </c>
      <c r="AJ27" s="52" t="n">
        <f aca="false">AJ21+AJ25-AJ12-AJ16</f>
        <v>-47659</v>
      </c>
      <c r="AK27" s="52" t="n">
        <f aca="false">AK21+AK25-AK12-AK16</f>
        <v>-47659</v>
      </c>
      <c r="AL27" s="52" t="n">
        <f aca="false">AL21+AL25-AL12-AL16</f>
        <v>-10992.3333333333</v>
      </c>
      <c r="AM27" s="52" t="n">
        <f aca="false">AM21+AM25-AM12-AM16</f>
        <v>-10992.3333333333</v>
      </c>
      <c r="AN27" s="52" t="n">
        <f aca="false">AN21+AN25-AN12-AN16</f>
        <v>-10992.3333333333</v>
      </c>
      <c r="AO27" s="52" t="n">
        <f aca="false">AO21+AO25-AO12-AO16</f>
        <v>-10992.3333333333</v>
      </c>
      <c r="AP27" s="52" t="n">
        <f aca="false">AP21+AP25-AP12-AP16</f>
        <v>-10992.3333333333</v>
      </c>
      <c r="AQ27" s="52" t="n">
        <f aca="false">AQ21+AQ25-AQ12-AQ16</f>
        <v>-10992.3333333333</v>
      </c>
      <c r="AR27" s="52" t="n">
        <f aca="false">AR21+AR25-AR12-AR16</f>
        <v>-10992.3333333333</v>
      </c>
      <c r="AS27" s="52" t="n">
        <f aca="false">AS21+AS25-AS12-AS16</f>
        <v>-10992.3333333333</v>
      </c>
      <c r="AT27" s="52" t="n">
        <f aca="false">AT21+AT25-AT12-AT16</f>
        <v>-10992.3333333333</v>
      </c>
      <c r="AU27" s="52" t="n">
        <f aca="false">AU21+AU25-AU12-AU16</f>
        <v>-10992.3333333333</v>
      </c>
      <c r="AV27" s="52" t="n">
        <f aca="false">AV21+AV25-AV12-AV16</f>
        <v>-10992.3333333333</v>
      </c>
      <c r="AW27" s="52" t="n">
        <f aca="false">AW21+AW25-AW12-AW16</f>
        <v>-10992.3333333333</v>
      </c>
      <c r="AX27" s="52" t="n">
        <f aca="false">AX21+AX25-AX12-AX16</f>
        <v>-5534</v>
      </c>
      <c r="AY27" s="52" t="n">
        <f aca="false">AY21+AY25-AY12-AY16</f>
        <v>-5534</v>
      </c>
      <c r="AZ27" s="52" t="n">
        <f aca="false">AZ21+AZ25-AZ12-AZ16</f>
        <v>36223119.52</v>
      </c>
    </row>
    <row r="28" customFormat="false" ht="15" hidden="false" customHeight="true" outlineLevel="0" collapsed="false">
      <c r="A28" s="59" t="s">
        <v>419</v>
      </c>
      <c r="B28" s="60" t="n">
        <f aca="false">B27</f>
        <v>-742617.333333333</v>
      </c>
      <c r="C28" s="60" t="n">
        <f aca="false">B28+C27</f>
        <v>-1687117.01960784</v>
      </c>
      <c r="D28" s="60" t="n">
        <f aca="false">C28+D27</f>
        <v>-2631616.70588235</v>
      </c>
      <c r="E28" s="60" t="n">
        <f aca="false">D28+E27</f>
        <v>-3576116.39215686</v>
      </c>
      <c r="F28" s="60" t="n">
        <f aca="false">E28+F27</f>
        <v>-2419792.77176471</v>
      </c>
      <c r="G28" s="60" t="n">
        <f aca="false">F28+G27</f>
        <v>-1467389.15137255</v>
      </c>
      <c r="H28" s="60" t="n">
        <f aca="false">G28+H27</f>
        <v>-514985.530980392</v>
      </c>
      <c r="I28" s="60" t="n">
        <f aca="false">H28+I27</f>
        <v>437418.089411765</v>
      </c>
      <c r="J28" s="60" t="n">
        <f aca="false">I28+J27</f>
        <v>1389821.70980392</v>
      </c>
      <c r="K28" s="60" t="n">
        <f aca="false">J28+K27</f>
        <v>2342225.33019608</v>
      </c>
      <c r="L28" s="60" t="n">
        <f aca="false">K28+L27</f>
        <v>3294628.95058824</v>
      </c>
      <c r="M28" s="60" t="n">
        <f aca="false">L28+M27</f>
        <v>4247032.57098039</v>
      </c>
      <c r="N28" s="60" t="n">
        <f aca="false">M28+N27</f>
        <v>5372436.19137255</v>
      </c>
      <c r="O28" s="60" t="n">
        <f aca="false">N28+O27</f>
        <v>6497839.81176471</v>
      </c>
      <c r="P28" s="60" t="n">
        <f aca="false">O28+P27</f>
        <v>19323243.4321569</v>
      </c>
      <c r="Q28" s="60" t="n">
        <f aca="false">P28+Q27</f>
        <v>20448647.052549</v>
      </c>
      <c r="R28" s="60" t="n">
        <f aca="false">Q28+R27</f>
        <v>21574050.6729412</v>
      </c>
      <c r="S28" s="60" t="n">
        <f aca="false">R28+S27</f>
        <v>22699454.2933333</v>
      </c>
      <c r="T28" s="60" t="n">
        <f aca="false">S28+T27</f>
        <v>24026740.2666667</v>
      </c>
      <c r="U28" s="60" t="n">
        <f aca="false">T28+U27</f>
        <v>25354026.24</v>
      </c>
      <c r="V28" s="60" t="n">
        <f aca="false">U28+V27</f>
        <v>38381312.2133333</v>
      </c>
      <c r="W28" s="60" t="n">
        <f aca="false">V28+W27</f>
        <v>39708598.1866667</v>
      </c>
      <c r="X28" s="60" t="n">
        <f aca="false">W28+X27</f>
        <v>38935060.8533333</v>
      </c>
      <c r="Y28" s="60" t="n">
        <f aca="false">X28+Y27</f>
        <v>38161523.52</v>
      </c>
      <c r="Z28" s="60" t="n">
        <f aca="false">Y28+Z27</f>
        <v>37909944.52</v>
      </c>
      <c r="AA28" s="60" t="n">
        <f aca="false">Z28+AA27</f>
        <v>37658365.52</v>
      </c>
      <c r="AB28" s="60" t="n">
        <f aca="false">AA28+AB27</f>
        <v>37406786.52</v>
      </c>
      <c r="AC28" s="60" t="n">
        <f aca="false">AB28+AC27</f>
        <v>37155207.52</v>
      </c>
      <c r="AD28" s="60" t="n">
        <f aca="false">AC28+AD27</f>
        <v>36903628.52</v>
      </c>
      <c r="AE28" s="60" t="n">
        <f aca="false">AD28+AE27</f>
        <v>36652049.52</v>
      </c>
      <c r="AF28" s="60" t="n">
        <f aca="false">AE28+AF27</f>
        <v>36604390.52</v>
      </c>
      <c r="AG28" s="60" t="n">
        <f aca="false">AF28+AG27</f>
        <v>36556731.52</v>
      </c>
      <c r="AH28" s="60" t="n">
        <f aca="false">AG28+AH27</f>
        <v>36509072.52</v>
      </c>
      <c r="AI28" s="60" t="n">
        <f aca="false">AH28+AI27</f>
        <v>36461413.52</v>
      </c>
      <c r="AJ28" s="60" t="n">
        <f aca="false">AI28+AJ27</f>
        <v>36413754.52</v>
      </c>
      <c r="AK28" s="60" t="n">
        <f aca="false">AJ28+AK27</f>
        <v>36366095.52</v>
      </c>
      <c r="AL28" s="60" t="n">
        <f aca="false">AK28+AL27</f>
        <v>36355103.1866667</v>
      </c>
      <c r="AM28" s="60" t="n">
        <f aca="false">AL28+AM27</f>
        <v>36344110.8533333</v>
      </c>
      <c r="AN28" s="60" t="n">
        <f aca="false">AM28+AN27</f>
        <v>36333118.52</v>
      </c>
      <c r="AO28" s="60" t="n">
        <f aca="false">AN28+AO27</f>
        <v>36322126.1866667</v>
      </c>
      <c r="AP28" s="60" t="n">
        <f aca="false">AO28+AP27</f>
        <v>36311133.8533333</v>
      </c>
      <c r="AQ28" s="60" t="n">
        <f aca="false">AP28+AQ27</f>
        <v>36300141.52</v>
      </c>
      <c r="AR28" s="60" t="n">
        <f aca="false">AQ28+AR27</f>
        <v>36289149.1866667</v>
      </c>
      <c r="AS28" s="60" t="n">
        <f aca="false">AR28+AS27</f>
        <v>36278156.8533333</v>
      </c>
      <c r="AT28" s="60" t="n">
        <f aca="false">AS28+AT27</f>
        <v>36267164.52</v>
      </c>
      <c r="AU28" s="60" t="n">
        <f aca="false">AT28+AU27</f>
        <v>36256172.1866666</v>
      </c>
      <c r="AV28" s="60" t="n">
        <f aca="false">AU28+AV27</f>
        <v>36245179.8533333</v>
      </c>
      <c r="AW28" s="60" t="n">
        <f aca="false">AV28+AW27</f>
        <v>36234187.52</v>
      </c>
      <c r="AX28" s="60" t="n">
        <f aca="false">AW28+AX27</f>
        <v>36228653.52</v>
      </c>
      <c r="AY28" s="60" t="n">
        <f aca="false">AX28+AY27</f>
        <v>36223119.52</v>
      </c>
      <c r="AZ28" s="60" t="n">
        <f aca="false">SUM(B27:AY27)</f>
        <v>36223119.52</v>
      </c>
    </row>
    <row r="29" customFormat="false" ht="15" hidden="false" customHeight="true" outlineLevel="0" collapsed="false">
      <c r="A29" s="61" t="s">
        <v>420</v>
      </c>
      <c r="B29" s="62" t="n">
        <f aca="false">MAX(0,-B28)</f>
        <v>742617.333333333</v>
      </c>
      <c r="C29" s="62" t="n">
        <f aca="false">MAX(0,-C28)</f>
        <v>1687117.01960784</v>
      </c>
      <c r="D29" s="62" t="n">
        <f aca="false">MAX(0,-D28)</f>
        <v>2631616.70588235</v>
      </c>
      <c r="E29" s="62" t="n">
        <f aca="false">MAX(0,-E28)</f>
        <v>3576116.39215686</v>
      </c>
      <c r="F29" s="62" t="n">
        <f aca="false">MAX(0,-F28)</f>
        <v>2419792.77176471</v>
      </c>
      <c r="G29" s="62" t="n">
        <f aca="false">MAX(0,-G28)</f>
        <v>1467389.15137255</v>
      </c>
      <c r="H29" s="62" t="n">
        <f aca="false">MAX(0,-H28)</f>
        <v>514985.530980392</v>
      </c>
      <c r="I29" s="62" t="n">
        <f aca="false">MAX(0,-I28)</f>
        <v>0</v>
      </c>
      <c r="J29" s="62" t="n">
        <f aca="false">MAX(0,-J28)</f>
        <v>0</v>
      </c>
      <c r="K29" s="62" t="n">
        <f aca="false">MAX(0,-K28)</f>
        <v>0</v>
      </c>
      <c r="L29" s="62" t="n">
        <f aca="false">MAX(0,-L28)</f>
        <v>0</v>
      </c>
      <c r="M29" s="62" t="n">
        <f aca="false">MAX(0,-M28)</f>
        <v>0</v>
      </c>
      <c r="N29" s="62" t="n">
        <f aca="false">MAX(0,-N28)</f>
        <v>0</v>
      </c>
      <c r="O29" s="62" t="n">
        <f aca="false">MAX(0,-O28)</f>
        <v>0</v>
      </c>
      <c r="P29" s="62" t="n">
        <f aca="false">MAX(0,-P28)</f>
        <v>0</v>
      </c>
      <c r="Q29" s="62" t="n">
        <f aca="false">MAX(0,-Q28)</f>
        <v>0</v>
      </c>
      <c r="R29" s="62" t="n">
        <f aca="false">MAX(0,-R28)</f>
        <v>0</v>
      </c>
      <c r="S29" s="62" t="n">
        <f aca="false">MAX(0,-S28)</f>
        <v>0</v>
      </c>
      <c r="T29" s="62" t="n">
        <f aca="false">MAX(0,-T28)</f>
        <v>0</v>
      </c>
      <c r="U29" s="62" t="n">
        <f aca="false">MAX(0,-U28)</f>
        <v>0</v>
      </c>
      <c r="V29" s="62" t="n">
        <f aca="false">MAX(0,-V28)</f>
        <v>0</v>
      </c>
      <c r="W29" s="62" t="n">
        <f aca="false">MAX(0,-W28)</f>
        <v>0</v>
      </c>
      <c r="X29" s="62" t="n">
        <f aca="false">MAX(0,-X28)</f>
        <v>0</v>
      </c>
      <c r="Y29" s="62" t="n">
        <f aca="false">MAX(0,-Y28)</f>
        <v>0</v>
      </c>
      <c r="Z29" s="62" t="n">
        <f aca="false">MAX(0,-Z28)</f>
        <v>0</v>
      </c>
      <c r="AA29" s="62" t="n">
        <f aca="false">MAX(0,-AA28)</f>
        <v>0</v>
      </c>
      <c r="AB29" s="62" t="n">
        <f aca="false">MAX(0,-AB28)</f>
        <v>0</v>
      </c>
      <c r="AC29" s="62" t="n">
        <f aca="false">MAX(0,-AC28)</f>
        <v>0</v>
      </c>
      <c r="AD29" s="62" t="n">
        <f aca="false">MAX(0,-AD28)</f>
        <v>0</v>
      </c>
      <c r="AE29" s="62" t="n">
        <f aca="false">MAX(0,-AE28)</f>
        <v>0</v>
      </c>
      <c r="AF29" s="62" t="n">
        <f aca="false">MAX(0,-AF28)</f>
        <v>0</v>
      </c>
      <c r="AG29" s="62" t="n">
        <f aca="false">MAX(0,-AG28)</f>
        <v>0</v>
      </c>
      <c r="AH29" s="62" t="n">
        <f aca="false">MAX(0,-AH28)</f>
        <v>0</v>
      </c>
      <c r="AI29" s="62" t="n">
        <f aca="false">MAX(0,-AI28)</f>
        <v>0</v>
      </c>
      <c r="AJ29" s="62" t="n">
        <f aca="false">MAX(0,-AJ28)</f>
        <v>0</v>
      </c>
      <c r="AK29" s="62" t="n">
        <f aca="false">MAX(0,-AK28)</f>
        <v>0</v>
      </c>
      <c r="AL29" s="62" t="n">
        <f aca="false">MAX(0,-AL28)</f>
        <v>0</v>
      </c>
      <c r="AM29" s="62" t="n">
        <f aca="false">MAX(0,-AM28)</f>
        <v>0</v>
      </c>
      <c r="AN29" s="62" t="n">
        <f aca="false">MAX(0,-AN28)</f>
        <v>0</v>
      </c>
      <c r="AO29" s="62" t="n">
        <f aca="false">MAX(0,-AO28)</f>
        <v>0</v>
      </c>
      <c r="AP29" s="62" t="n">
        <f aca="false">MAX(0,-AP28)</f>
        <v>0</v>
      </c>
      <c r="AQ29" s="62" t="n">
        <f aca="false">MAX(0,-AQ28)</f>
        <v>0</v>
      </c>
      <c r="AR29" s="62" t="n">
        <f aca="false">MAX(0,-AR28)</f>
        <v>0</v>
      </c>
      <c r="AS29" s="62" t="n">
        <f aca="false">MAX(0,-AS28)</f>
        <v>0</v>
      </c>
      <c r="AT29" s="62" t="n">
        <f aca="false">MAX(0,-AT28)</f>
        <v>0</v>
      </c>
      <c r="AU29" s="62" t="n">
        <f aca="false">MAX(0,-AU28)</f>
        <v>0</v>
      </c>
      <c r="AV29" s="62" t="n">
        <f aca="false">MAX(0,-AV28)</f>
        <v>0</v>
      </c>
      <c r="AW29" s="62" t="n">
        <f aca="false">MAX(0,-AW28)</f>
        <v>0</v>
      </c>
      <c r="AX29" s="62" t="n">
        <f aca="false">MAX(0,-AX28)</f>
        <v>0</v>
      </c>
      <c r="AY29" s="62" t="n">
        <f aca="false">MAX(0,-AY28)</f>
        <v>0</v>
      </c>
      <c r="AZ29" s="63" t="n">
        <f aca="false">MAX(B29:AY29)</f>
        <v>3576116.39215686</v>
      </c>
    </row>
  </sheetData>
  <mergeCells count="2">
    <mergeCell ref="A1:BC1"/>
    <mergeCell ref="A2:B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8"/>
    <col collapsed="false" customWidth="true" hidden="false" outlineLevel="0" max="4" min="3" style="1" width="12"/>
    <col collapsed="false" customWidth="true" hidden="false" outlineLevel="0" max="5" min="5" style="1" width="4"/>
    <col collapsed="false" customWidth="true" hidden="false" outlineLevel="0" max="6" min="6" style="1" width="18"/>
    <col collapsed="false" customWidth="true" hidden="false" outlineLevel="0" max="7" min="7" style="1" width="12"/>
  </cols>
  <sheetData>
    <row r="1" customFormat="false" ht="27.75" hidden="false" customHeight="true" outlineLevel="0" collapsed="false">
      <c r="A1" s="17" t="s">
        <v>421</v>
      </c>
      <c r="B1" s="17"/>
      <c r="C1" s="17"/>
      <c r="D1" s="17"/>
      <c r="E1" s="17"/>
      <c r="F1" s="17"/>
      <c r="G1" s="17"/>
    </row>
    <row r="2" customFormat="false" ht="27.75" hidden="false" customHeight="true" outlineLevel="0" collapsed="false">
      <c r="A2" s="18" t="s">
        <v>422</v>
      </c>
      <c r="B2" s="18"/>
      <c r="C2" s="18"/>
      <c r="D2" s="18"/>
      <c r="E2" s="18"/>
      <c r="F2" s="18"/>
      <c r="G2" s="18"/>
    </row>
    <row r="4" customFormat="false" ht="18" hidden="false" customHeight="true" outlineLevel="0" collapsed="false">
      <c r="A4" s="4" t="s">
        <v>423</v>
      </c>
      <c r="B4" s="5"/>
      <c r="C4" s="5"/>
      <c r="D4" s="5"/>
      <c r="F4" s="4" t="s">
        <v>424</v>
      </c>
      <c r="G4" s="5"/>
    </row>
    <row r="5" customFormat="false" ht="15" hidden="false" customHeight="true" outlineLevel="0" collapsed="false">
      <c r="A5" s="23" t="s">
        <v>291</v>
      </c>
      <c r="B5" s="23" t="s">
        <v>292</v>
      </c>
      <c r="C5" s="23" t="s">
        <v>81</v>
      </c>
      <c r="D5" s="23" t="s">
        <v>425</v>
      </c>
      <c r="F5" s="23" t="s">
        <v>426</v>
      </c>
      <c r="G5" s="23" t="s">
        <v>292</v>
      </c>
    </row>
    <row r="6" customFormat="false" ht="15" hidden="false" customHeight="true" outlineLevel="0" collapsed="false">
      <c r="A6" s="64" t="s">
        <v>96</v>
      </c>
      <c r="F6" s="19" t="s">
        <v>427</v>
      </c>
      <c r="G6" s="37" t="n">
        <f aca="false">Assumptions!B33</f>
        <v>262000</v>
      </c>
    </row>
    <row r="7" customFormat="false" ht="15" hidden="false" customHeight="true" outlineLevel="0" collapsed="false">
      <c r="A7" s="19" t="s">
        <v>97</v>
      </c>
      <c r="B7" s="37" t="n">
        <f aca="false">Assumptions!B29</f>
        <v>1993000</v>
      </c>
      <c r="C7" s="26" t="n">
        <f aca="false">IF(B30&gt;0,B7/B30,0)</f>
        <v>0.0523661292617831</v>
      </c>
      <c r="D7" s="39" t="n">
        <f aca="false">IF(Assumptions!B9&gt;0,B7/Assumptions!B9,0)</f>
        <v>0.459459552920265</v>
      </c>
      <c r="F7" s="19" t="s">
        <v>428</v>
      </c>
      <c r="G7" s="37" t="n">
        <f aca="false">Assumptions!B43</f>
        <v>23400000</v>
      </c>
    </row>
    <row r="8" customFormat="false" ht="15" hidden="false" customHeight="true" outlineLevel="0" collapsed="false">
      <c r="A8" s="19" t="s">
        <v>98</v>
      </c>
      <c r="B8" s="37" t="n">
        <f aca="false">Assumptions!B30</f>
        <v>3432000</v>
      </c>
      <c r="C8" s="26" t="n">
        <f aca="false">IF(B30&gt;0,B8/B30,0)</f>
        <v>0.0901758934402608</v>
      </c>
      <c r="D8" s="39" t="n">
        <f aca="false">IF(Assumptions!B9&gt;0,B8/Assumptions!B9,0)</f>
        <v>0.791201799108054</v>
      </c>
      <c r="F8" s="19" t="s">
        <v>429</v>
      </c>
      <c r="G8" s="37" t="n">
        <f aca="false">Assumptions!B41</f>
        <v>0</v>
      </c>
    </row>
    <row r="9" customFormat="false" ht="15" hidden="false" customHeight="true" outlineLevel="0" collapsed="false">
      <c r="A9" s="19" t="s">
        <v>99</v>
      </c>
      <c r="B9" s="37" t="n">
        <f aca="false">Assumptions!B31</f>
        <v>12527000</v>
      </c>
      <c r="C9" s="26" t="n">
        <f aca="false">IF(B30&gt;0,B9/B30,0)</f>
        <v>0.329147266062397</v>
      </c>
      <c r="D9" s="39" t="n">
        <f aca="false">IF(Assumptions!B9&gt;0,B9/Assumptions!B9,0)</f>
        <v>2.88793267407535</v>
      </c>
      <c r="F9" s="27" t="s">
        <v>430</v>
      </c>
      <c r="G9" s="27" t="n">
        <f aca="false">SUM(G6:G8)</f>
        <v>23662000</v>
      </c>
    </row>
    <row r="10" customFormat="false" ht="15" hidden="false" customHeight="true" outlineLevel="0" collapsed="false">
      <c r="A10" s="19" t="s">
        <v>100</v>
      </c>
      <c r="B10" s="37" t="n">
        <f aca="false">Assumptions!B32</f>
        <v>5098000</v>
      </c>
      <c r="C10" s="26" t="n">
        <f aca="false">IF(B30&gt;0,B10/B30,0)</f>
        <v>0.133950088799082</v>
      </c>
      <c r="D10" s="39" t="n">
        <f aca="false">IF(Assumptions!B9&gt;0,B10/Assumptions!B9,0)</f>
        <v>1.17527586592449</v>
      </c>
    </row>
    <row r="11" customFormat="false" ht="15" hidden="false" customHeight="true" outlineLevel="0" collapsed="false">
      <c r="A11" s="19" t="s">
        <v>101</v>
      </c>
      <c r="B11" s="37" t="n">
        <f aca="false">Assumptions!B33</f>
        <v>262000</v>
      </c>
      <c r="C11" s="26" t="n">
        <f aca="false">IF(B30&gt;0,B11/B30,0)</f>
        <v>0.00688405713326</v>
      </c>
      <c r="D11" s="39" t="n">
        <f aca="false">IF(Assumptions!B9&gt;0,B11/Assumptions!B9,0)</f>
        <v>0.0604006035449621</v>
      </c>
    </row>
    <row r="12" customFormat="false" ht="15" hidden="false" customHeight="true" outlineLevel="0" collapsed="false">
      <c r="A12" s="19" t="s">
        <v>405</v>
      </c>
      <c r="B12" s="37" t="n">
        <f aca="false">Assumptions!B34</f>
        <v>276700</v>
      </c>
      <c r="C12" s="26" t="n">
        <f aca="false">IF(B30&gt;0,B12/B30,0)</f>
        <v>0.0072703000334849</v>
      </c>
      <c r="D12" s="39" t="n">
        <f aca="false">IF(Assumptions!B9&gt;0,B12/Assumptions!B9,0)</f>
        <v>0.0637894923698131</v>
      </c>
    </row>
    <row r="13" customFormat="false" ht="15" hidden="false" customHeight="true" outlineLevel="0" collapsed="false">
      <c r="A13" s="27" t="s">
        <v>103</v>
      </c>
      <c r="B13" s="27" t="n">
        <f aca="false">SUM(B7:B12)</f>
        <v>23588700</v>
      </c>
      <c r="C13" s="26" t="n">
        <f aca="false">IF(B30&gt;0,B13/B30,0)</f>
        <v>0.619793734730268</v>
      </c>
      <c r="D13" s="39" t="n">
        <f aca="false">IF(Assumptions!B9&gt;0,B13/Assumptions!B9,0)</f>
        <v>5.43805998794293</v>
      </c>
    </row>
    <row r="14" customFormat="false" ht="15" hidden="false" customHeight="true" outlineLevel="0" collapsed="false">
      <c r="A14" s="64" t="s">
        <v>104</v>
      </c>
    </row>
    <row r="15" customFormat="false" ht="15" hidden="false" customHeight="true" outlineLevel="0" collapsed="false">
      <c r="A15" s="19" t="s">
        <v>105</v>
      </c>
      <c r="B15" s="37" t="n">
        <f aca="false">Assumptions!B38</f>
        <v>1320000</v>
      </c>
      <c r="C15" s="26" t="n">
        <f aca="false">IF(B30&gt;0,B15/B30,0)</f>
        <v>0.0346830359385618</v>
      </c>
      <c r="D15" s="39" t="n">
        <f aca="false">IF(Assumptions!B9&gt;0,B15/Assumptions!B9,0)</f>
        <v>0.304308384272328</v>
      </c>
    </row>
    <row r="16" customFormat="false" ht="15" hidden="false" customHeight="true" outlineLevel="0" collapsed="false">
      <c r="A16" s="19" t="s">
        <v>106</v>
      </c>
      <c r="B16" s="37" t="n">
        <f aca="false">Assumptions!B39</f>
        <v>83000</v>
      </c>
      <c r="C16" s="26" t="n">
        <f aca="false">IF(B30&gt;0,B16/B30,0)</f>
        <v>0.00218082725977321</v>
      </c>
      <c r="D16" s="39" t="n">
        <f aca="false">IF(Assumptions!B9&gt;0,B16/Assumptions!B9,0)</f>
        <v>0.0191345423443964</v>
      </c>
    </row>
    <row r="17" customFormat="false" ht="15" hidden="false" customHeight="true" outlineLevel="0" collapsed="false">
      <c r="A17" s="27" t="s">
        <v>107</v>
      </c>
      <c r="B17" s="27" t="n">
        <f aca="false">SUM(B15:B16)</f>
        <v>1403000</v>
      </c>
      <c r="C17" s="26" t="n">
        <f aca="false">IF(B30&gt;0,B17/B30,0)</f>
        <v>0.036863863198335</v>
      </c>
      <c r="D17" s="39" t="n">
        <f aca="false">IF(Assumptions!B9&gt;0,B17/Assumptions!B9,0)</f>
        <v>0.323442926616725</v>
      </c>
    </row>
    <row r="18" customFormat="false" ht="15" hidden="false" customHeight="true" outlineLevel="0" collapsed="false">
      <c r="A18" s="19" t="s">
        <v>119</v>
      </c>
      <c r="B18" s="37" t="n">
        <f aca="false">Assumptions!B56</f>
        <v>11387289</v>
      </c>
      <c r="C18" s="26" t="n">
        <f aca="false">IF(B30&gt;0,B18/B30,0)</f>
        <v>0.299201328507417</v>
      </c>
      <c r="D18" s="39" t="n">
        <f aca="false">IF(Assumptions!B9&gt;0,B18/Assumptions!B9,0)</f>
        <v>2.62518751275156</v>
      </c>
    </row>
    <row r="19" customFormat="false" ht="15" hidden="false" customHeight="true" outlineLevel="0" collapsed="false">
      <c r="A19" s="19" t="s">
        <v>431</v>
      </c>
      <c r="B19" s="38" t="n">
        <f aca="false">Assumptions!B61*(B13+B17)</f>
        <v>1249585</v>
      </c>
      <c r="C19" s="26" t="n">
        <f aca="false">IF(B30&gt;0,B19/B30,0)</f>
        <v>0.0328328798964302</v>
      </c>
      <c r="D19" s="39" t="n">
        <f aca="false">IF(Assumptions!B9&gt;0,B19/Assumptions!B9,0)</f>
        <v>0.288075145727983</v>
      </c>
    </row>
    <row r="20" customFormat="false" ht="15" hidden="false" customHeight="true" outlineLevel="0" collapsed="false">
      <c r="A20" s="64" t="s">
        <v>331</v>
      </c>
    </row>
    <row r="21" customFormat="false" ht="15" hidden="false" customHeight="true" outlineLevel="0" collapsed="false">
      <c r="A21" s="19" t="s">
        <v>179</v>
      </c>
      <c r="B21" s="37" t="n">
        <f aca="false">Assumptions!B49</f>
        <v>6700</v>
      </c>
      <c r="C21" s="26" t="n">
        <f aca="false">IF(B30&gt;0,B21/B30,0)</f>
        <v>0.000176042682415428</v>
      </c>
      <c r="D21" s="39" t="n">
        <f aca="false">IF(Assumptions!B9&gt;0,B21/Assumptions!B9,0)</f>
        <v>0.00154459558683682</v>
      </c>
    </row>
    <row r="22" customFormat="false" ht="15" hidden="false" customHeight="true" outlineLevel="0" collapsed="false">
      <c r="A22" s="19" t="s">
        <v>432</v>
      </c>
      <c r="B22" s="37" t="n">
        <f aca="false">Assumptions!B50</f>
        <v>6700</v>
      </c>
      <c r="C22" s="26" t="n">
        <f aca="false">IF(B30&gt;0,B22/B30,0)</f>
        <v>0.000176042682415428</v>
      </c>
      <c r="D22" s="39" t="n">
        <f aca="false">IF(Assumptions!B9&gt;0,B22/Assumptions!B9,0)</f>
        <v>0.00154459558683682</v>
      </c>
    </row>
    <row r="23" customFormat="false" ht="15" hidden="false" customHeight="true" outlineLevel="0" collapsed="false">
      <c r="A23" s="19" t="s">
        <v>433</v>
      </c>
      <c r="B23" s="37" t="n">
        <f aca="false">Assumptions!B44</f>
        <v>240000</v>
      </c>
      <c r="C23" s="26" t="n">
        <f aca="false">IF(B30&gt;0,B23/B30,0)</f>
        <v>0.00630600653428397</v>
      </c>
      <c r="D23" s="39" t="n">
        <f aca="false">IF(Assumptions!B9&gt;0,B23/Assumptions!B9,0)</f>
        <v>0.0553287971404233</v>
      </c>
    </row>
    <row r="24" customFormat="false" ht="15" hidden="false" customHeight="true" outlineLevel="0" collapsed="false">
      <c r="A24" s="19" t="s">
        <v>434</v>
      </c>
      <c r="B24" s="37" t="n">
        <f aca="false">Assumptions!B45</f>
        <v>150000</v>
      </c>
      <c r="C24" s="26" t="n">
        <f aca="false">IF(B30&gt;0,B24/B30,0)</f>
        <v>0.00394125408392748</v>
      </c>
      <c r="D24" s="39" t="n">
        <f aca="false">IF(Assumptions!B9&gt;0,B24/Assumptions!B9,0)</f>
        <v>0.0345804982127646</v>
      </c>
    </row>
    <row r="25" customFormat="false" ht="15" hidden="false" customHeight="true" outlineLevel="0" collapsed="false">
      <c r="A25" s="19" t="s">
        <v>435</v>
      </c>
      <c r="B25" s="37" t="n">
        <f aca="false">Assumptions!B51</f>
        <v>1178</v>
      </c>
      <c r="C25" s="26" t="n">
        <f aca="false">IF(B30&gt;0,B25/B30,0)</f>
        <v>3.09519820724438E-005</v>
      </c>
      <c r="D25" s="39" t="n">
        <f aca="false">IF(Assumptions!B9&gt;0,B25/Assumptions!B9,0)</f>
        <v>0.000271572179297578</v>
      </c>
    </row>
    <row r="26" customFormat="false" ht="15" hidden="false" customHeight="true" outlineLevel="0" collapsed="false">
      <c r="A26" s="19" t="s">
        <v>181</v>
      </c>
      <c r="B26" s="37" t="n">
        <f aca="false">Assumptions!B53</f>
        <v>25800</v>
      </c>
      <c r="C26" s="26" t="n">
        <f aca="false">IF(B30&gt;0,B26/B30,0)</f>
        <v>0.000677895702435527</v>
      </c>
      <c r="D26" s="39" t="n">
        <f aca="false">IF(Assumptions!B9&gt;0,B26/Assumptions!B9,0)</f>
        <v>0.00594784569259551</v>
      </c>
    </row>
    <row r="27" customFormat="false" ht="15" hidden="false" customHeight="true" outlineLevel="0" collapsed="false">
      <c r="A27" s="27" t="s">
        <v>436</v>
      </c>
      <c r="B27" s="27" t="n">
        <f aca="false">SUM(B21:B26)</f>
        <v>430378</v>
      </c>
      <c r="C27" s="26" t="n">
        <f aca="false">IF(B30&gt;0,B27/B30,0)</f>
        <v>0.0113081936675503</v>
      </c>
      <c r="D27" s="39" t="n">
        <f aca="false">IF(Assumptions!B9&gt;0,B27/Assumptions!B9,0)</f>
        <v>0.0992179043987546</v>
      </c>
    </row>
    <row r="28" customFormat="false" ht="15" hidden="false" customHeight="true" outlineLevel="0" collapsed="false">
      <c r="A28" s="19" t="s">
        <v>437</v>
      </c>
      <c r="B28" s="38" t="n">
        <f aca="false">Assumptions!B60*Assumptions!E17</f>
        <v>1575617.48</v>
      </c>
      <c r="C28" s="26" t="n">
        <f aca="false">IF(B30&gt;0,B28/B30,0)</f>
        <v>0.0413993921850502</v>
      </c>
      <c r="D28" s="39" t="n">
        <f aca="false">IF(Assumptions!B9&gt;0,B28/Assumptions!B9,0)</f>
        <v>0.363237583007604</v>
      </c>
    </row>
    <row r="30" customFormat="false" ht="15" hidden="false" customHeight="true" outlineLevel="0" collapsed="false">
      <c r="A30" s="27" t="s">
        <v>438</v>
      </c>
      <c r="B30" s="27" t="n">
        <f aca="false">B13+B17+B18+B19+B27</f>
        <v>38058952</v>
      </c>
      <c r="C30" s="26" t="n">
        <f aca="false">IF(B30&gt;0,B30/B30,0)</f>
        <v>1</v>
      </c>
      <c r="D30" s="39" t="n">
        <f aca="false">IF(Assumptions!B9&gt;0,B30/Assumptions!B9,0)</f>
        <v>8.77398347743795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8"/>
    <col collapsed="false" customWidth="true" hidden="false" outlineLevel="0" max="4" min="3" style="1" width="14"/>
    <col collapsed="false" customWidth="true" hidden="false" outlineLevel="0" max="5" min="5" style="1" width="22"/>
  </cols>
  <sheetData>
    <row r="1" customFormat="false" ht="27.75" hidden="false" customHeight="true" outlineLevel="0" collapsed="false">
      <c r="A1" s="17" t="s">
        <v>439</v>
      </c>
      <c r="B1" s="17"/>
      <c r="C1" s="17"/>
      <c r="D1" s="17"/>
      <c r="E1" s="17"/>
    </row>
    <row r="2" customFormat="false" ht="27.75" hidden="false" customHeight="true" outlineLevel="0" collapsed="false">
      <c r="A2" s="18" t="s">
        <v>440</v>
      </c>
      <c r="B2" s="18"/>
      <c r="C2" s="18"/>
      <c r="D2" s="18"/>
      <c r="E2" s="18"/>
    </row>
    <row r="4" customFormat="false" ht="18" hidden="false" customHeight="true" outlineLevel="0" collapsed="false">
      <c r="A4" s="4" t="s">
        <v>441</v>
      </c>
      <c r="B4" s="5"/>
      <c r="C4" s="5"/>
      <c r="D4" s="5"/>
      <c r="E4" s="5"/>
    </row>
    <row r="5" customFormat="false" ht="15" hidden="false" customHeight="true" outlineLevel="0" collapsed="false">
      <c r="A5" s="23" t="s">
        <v>442</v>
      </c>
      <c r="B5" s="23" t="s">
        <v>443</v>
      </c>
      <c r="C5" s="23" t="s">
        <v>223</v>
      </c>
    </row>
    <row r="6" customFormat="false" ht="15" hidden="false" customHeight="true" outlineLevel="0" collapsed="false">
      <c r="A6" s="19" t="s">
        <v>444</v>
      </c>
      <c r="B6" s="37" t="n">
        <f aca="false">Assumptions!B43</f>
        <v>23400000</v>
      </c>
      <c r="C6" s="40" t="s">
        <v>445</v>
      </c>
    </row>
    <row r="7" customFormat="false" ht="15" hidden="false" customHeight="true" outlineLevel="0" collapsed="false">
      <c r="A7" s="19" t="s">
        <v>446</v>
      </c>
      <c r="B7" s="37" t="n">
        <f aca="false">Assumptions!B43*0.5</f>
        <v>11700000</v>
      </c>
      <c r="C7" s="40" t="s">
        <v>447</v>
      </c>
    </row>
    <row r="8" customFormat="false" ht="15" hidden="false" customHeight="true" outlineLevel="0" collapsed="false">
      <c r="A8" s="19" t="s">
        <v>448</v>
      </c>
      <c r="B8" s="37" t="n">
        <f aca="false">Assumptions!B43*0.5</f>
        <v>11700000</v>
      </c>
      <c r="C8" s="40" t="s">
        <v>449</v>
      </c>
    </row>
    <row r="9" customFormat="false" ht="15" hidden="false" customHeight="true" outlineLevel="0" collapsed="false">
      <c r="A9" s="19" t="s">
        <v>450</v>
      </c>
      <c r="B9" s="37" t="n">
        <f aca="false">Assumptions!B44</f>
        <v>240000</v>
      </c>
      <c r="C9" s="40" t="s">
        <v>451</v>
      </c>
    </row>
    <row r="10" customFormat="false" ht="15" hidden="false" customHeight="true" outlineLevel="0" collapsed="false">
      <c r="A10" s="19" t="s">
        <v>434</v>
      </c>
      <c r="B10" s="37" t="n">
        <f aca="false">Assumptions!B45</f>
        <v>150000</v>
      </c>
      <c r="C10" s="40" t="s">
        <v>452</v>
      </c>
    </row>
    <row r="12" customFormat="false" ht="18" hidden="false" customHeight="true" outlineLevel="0" collapsed="false">
      <c r="A12" s="4" t="s">
        <v>112</v>
      </c>
      <c r="B12" s="5"/>
      <c r="C12" s="5"/>
      <c r="D12" s="5"/>
      <c r="E12" s="5"/>
    </row>
    <row r="13" customFormat="false" ht="15" hidden="false" customHeight="true" outlineLevel="0" collapsed="false">
      <c r="A13" s="19" t="s">
        <v>453</v>
      </c>
      <c r="B13" s="37" t="n">
        <f aca="false">Assumptions!B52</f>
        <v>671535</v>
      </c>
    </row>
    <row r="14" customFormat="false" ht="15" hidden="false" customHeight="true" outlineLevel="0" collapsed="false">
      <c r="A14" s="19" t="s">
        <v>454</v>
      </c>
      <c r="B14" s="37" t="n">
        <f aca="false">Assumptions!B48</f>
        <v>0.11</v>
      </c>
    </row>
    <row r="15" customFormat="false" ht="15" hidden="false" customHeight="true" outlineLevel="0" collapsed="false">
      <c r="A15" s="19" t="s">
        <v>455</v>
      </c>
      <c r="B15" s="37" t="n">
        <f aca="false">Assumptions!B49</f>
        <v>6700</v>
      </c>
    </row>
    <row r="16" customFormat="false" ht="15" hidden="false" customHeight="true" outlineLevel="0" collapsed="false">
      <c r="A16" s="19" t="s">
        <v>432</v>
      </c>
      <c r="B16" s="37" t="n">
        <f aca="false">Assumptions!B50</f>
        <v>6700</v>
      </c>
    </row>
    <row r="17" customFormat="false" ht="15" hidden="false" customHeight="true" outlineLevel="0" collapsed="false">
      <c r="A17" s="19" t="s">
        <v>456</v>
      </c>
      <c r="B17" s="37" t="n">
        <f aca="false">Assumptions!B53</f>
        <v>25800</v>
      </c>
    </row>
    <row r="18" customFormat="false" ht="15" hidden="false" customHeight="true" outlineLevel="0" collapsed="false">
      <c r="A18" s="19" t="s">
        <v>435</v>
      </c>
      <c r="B18" s="37" t="n">
        <f aca="false">Assumptions!B51</f>
        <v>1178</v>
      </c>
    </row>
    <row r="20" customFormat="false" ht="18" hidden="false" customHeight="true" outlineLevel="0" collapsed="false">
      <c r="A20" s="4" t="s">
        <v>457</v>
      </c>
      <c r="B20" s="5"/>
      <c r="C20" s="5"/>
      <c r="D20" s="5"/>
      <c r="E20" s="5"/>
    </row>
    <row r="21" customFormat="false" ht="15" hidden="false" customHeight="true" outlineLevel="0" collapsed="false">
      <c r="A21" s="19" t="s">
        <v>137</v>
      </c>
      <c r="B21" s="37" t="n">
        <f aca="false">Assumptions!B56</f>
        <v>11387289</v>
      </c>
    </row>
    <row r="22" customFormat="false" ht="15" hidden="false" customHeight="true" outlineLevel="0" collapsed="false">
      <c r="A22" s="19" t="s">
        <v>458</v>
      </c>
      <c r="B22" s="25" t="n">
        <v>0</v>
      </c>
    </row>
    <row r="23" customFormat="false" ht="15" hidden="false" customHeight="true" outlineLevel="0" collapsed="false">
      <c r="A23" s="19" t="s">
        <v>302</v>
      </c>
      <c r="B23" s="37" t="n">
        <f aca="false">Assumptions!B56</f>
        <v>11387289</v>
      </c>
    </row>
    <row r="25" customFormat="false" ht="18" hidden="false" customHeight="true" outlineLevel="0" collapsed="false">
      <c r="A25" s="4" t="s">
        <v>459</v>
      </c>
      <c r="B25" s="5"/>
      <c r="C25" s="5"/>
      <c r="D25" s="5"/>
      <c r="E25" s="5"/>
    </row>
    <row r="26" customFormat="false" ht="15" hidden="false" customHeight="true" outlineLevel="0" collapsed="false">
      <c r="A26" s="23" t="s">
        <v>460</v>
      </c>
      <c r="B26" s="23" t="s">
        <v>292</v>
      </c>
      <c r="C26" s="23" t="s">
        <v>461</v>
      </c>
      <c r="D26" s="23" t="s">
        <v>462</v>
      </c>
    </row>
    <row r="27" customFormat="false" ht="15" hidden="false" customHeight="true" outlineLevel="0" collapsed="false">
      <c r="A27" s="19" t="s">
        <v>463</v>
      </c>
      <c r="B27" s="37" t="n">
        <f aca="false">Assumptions!B43</f>
        <v>23400000</v>
      </c>
      <c r="C27" s="26" t="n">
        <f aca="false">B27/SUM(B27:B29)</f>
        <v>0.659920362841137</v>
      </c>
      <c r="D27" s="44" t="n">
        <v>0</v>
      </c>
    </row>
    <row r="28" customFormat="false" ht="15" hidden="false" customHeight="true" outlineLevel="0" collapsed="false">
      <c r="A28" s="19" t="s">
        <v>464</v>
      </c>
      <c r="B28" s="37" t="n">
        <f aca="false">Assumptions!B52</f>
        <v>671535</v>
      </c>
      <c r="C28" s="26" t="n">
        <f aca="false">B28/SUM(B27:B29)</f>
        <v>0.0189384453359198</v>
      </c>
      <c r="D28" s="44" t="n">
        <f aca="false">Assumptions!B48</f>
        <v>0.11</v>
      </c>
    </row>
    <row r="29" customFormat="false" ht="15" hidden="false" customHeight="true" outlineLevel="0" collapsed="false">
      <c r="A29" s="19" t="s">
        <v>465</v>
      </c>
      <c r="B29" s="37" t="n">
        <f aca="false">Assumptions!B56</f>
        <v>11387289</v>
      </c>
      <c r="C29" s="26" t="n">
        <f aca="false">B29/SUM(B27:B29)</f>
        <v>0.321141191822944</v>
      </c>
      <c r="D29" s="44" t="n">
        <f aca="false">Assumptions!B57</f>
        <v>0.08</v>
      </c>
    </row>
    <row r="30" customFormat="false" ht="15" hidden="false" customHeight="true" outlineLevel="0" collapsed="false">
      <c r="A30" s="27" t="s">
        <v>466</v>
      </c>
      <c r="B30" s="27" t="n">
        <f aca="false">SUM(B27:B29)</f>
        <v>35458824</v>
      </c>
      <c r="C30" s="30" t="n">
        <f aca="false">1</f>
        <v>1</v>
      </c>
    </row>
    <row r="32" customFormat="false" ht="18" hidden="false" customHeight="true" outlineLevel="0" collapsed="false">
      <c r="A32" s="4" t="s">
        <v>467</v>
      </c>
      <c r="B32" s="5"/>
      <c r="C32" s="5"/>
      <c r="D32" s="5"/>
      <c r="E32" s="5"/>
    </row>
    <row r="33" customFormat="false" ht="15" hidden="false" customHeight="true" outlineLevel="0" collapsed="false">
      <c r="A33" s="19" t="s">
        <v>6</v>
      </c>
      <c r="B33" s="37" t="n">
        <f aca="false">Assumptions!E17</f>
        <v>39390437</v>
      </c>
    </row>
    <row r="34" customFormat="false" ht="15" hidden="false" customHeight="true" outlineLevel="0" collapsed="false">
      <c r="A34" s="19" t="s">
        <v>468</v>
      </c>
      <c r="B34" s="37" t="n">
        <f aca="false">Assumptions!E17*(1-Assumptions!B60)</f>
        <v>37814819.52</v>
      </c>
    </row>
    <row r="35" customFormat="false" ht="15" hidden="false" customHeight="true" outlineLevel="0" collapsed="false">
      <c r="A35" s="19" t="s">
        <v>469</v>
      </c>
      <c r="B35" s="37" t="n">
        <f aca="false">Assumptions!E17*(1-Assumptions!B60)+Assumptions!B56</f>
        <v>49202108.52</v>
      </c>
    </row>
    <row r="36" customFormat="false" ht="15" hidden="false" customHeight="true" outlineLevel="0" collapsed="false">
      <c r="A36" s="19" t="s">
        <v>12</v>
      </c>
      <c r="B36" s="37" t="n">
        <f aca="false">'Dev Budget'!B30</f>
        <v>38058952</v>
      </c>
    </row>
    <row r="37" customFormat="false" ht="15" hidden="false" customHeight="true" outlineLevel="0" collapsed="false">
      <c r="A37" s="19" t="s">
        <v>470</v>
      </c>
      <c r="B37" s="37" t="n">
        <f aca="false">Assumptions!E17*(1-Assumptions!B60)+Assumptions!B56-'Dev Budget'!B30</f>
        <v>11143156.52</v>
      </c>
    </row>
    <row r="38" customFormat="false" ht="15" hidden="false" customHeight="true" outlineLevel="0" collapsed="false">
      <c r="A38" s="19" t="s">
        <v>471</v>
      </c>
      <c r="B38" s="31" t="n">
        <v>0.636</v>
      </c>
    </row>
    <row r="39" customFormat="false" ht="15" hidden="false" customHeight="true" outlineLevel="0" collapsed="false">
      <c r="A39" s="19" t="s">
        <v>472</v>
      </c>
      <c r="B39" s="65" t="n">
        <v>3.03</v>
      </c>
    </row>
    <row r="40" customFormat="false" ht="15" hidden="false" customHeight="true" outlineLevel="0" collapsed="false">
      <c r="A40" s="19" t="s">
        <v>473</v>
      </c>
      <c r="B40" s="31" t="n">
        <v>0.393</v>
      </c>
    </row>
    <row r="41" customFormat="false" ht="15" hidden="false" customHeight="true" outlineLevel="0" collapsed="false">
      <c r="A41" s="19" t="s">
        <v>474</v>
      </c>
      <c r="B41" s="65" t="n">
        <v>2.11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7" min="3" style="1" width="14"/>
  </cols>
  <sheetData>
    <row r="1" customFormat="false" ht="27.75" hidden="false" customHeight="true" outlineLevel="0" collapsed="false">
      <c r="A1" s="17" t="s">
        <v>475</v>
      </c>
      <c r="B1" s="17"/>
      <c r="C1" s="17"/>
      <c r="D1" s="17"/>
      <c r="E1" s="17"/>
      <c r="F1" s="17"/>
      <c r="G1" s="17"/>
    </row>
    <row r="2" customFormat="false" ht="27.75" hidden="false" customHeight="true" outlineLevel="0" collapsed="false">
      <c r="A2" s="18" t="s">
        <v>476</v>
      </c>
      <c r="B2" s="18"/>
      <c r="C2" s="18"/>
      <c r="D2" s="18"/>
      <c r="E2" s="18"/>
      <c r="F2" s="18"/>
      <c r="G2" s="18"/>
    </row>
    <row r="4" customFormat="false" ht="18" hidden="false" customHeight="true" outlineLevel="0" collapsed="false">
      <c r="A4" s="4" t="s">
        <v>477</v>
      </c>
      <c r="B4" s="5"/>
      <c r="C4" s="5"/>
      <c r="D4" s="5"/>
    </row>
    <row r="5" customFormat="false" ht="15" hidden="false" customHeight="true" outlineLevel="0" collapsed="false">
      <c r="A5" s="19" t="s">
        <v>478</v>
      </c>
      <c r="B5" s="37" t="n">
        <f aca="false">Assumptions!E17</f>
        <v>39390437</v>
      </c>
    </row>
    <row r="6" customFormat="false" ht="15" hidden="false" customHeight="true" outlineLevel="0" collapsed="false">
      <c r="A6" s="19" t="s">
        <v>479</v>
      </c>
      <c r="B6" s="37" t="n">
        <f aca="false">-(Assumptions!B60*Assumptions!E17)</f>
        <v>-1575617.48</v>
      </c>
    </row>
    <row r="7" customFormat="false" ht="15" hidden="false" customHeight="true" outlineLevel="0" collapsed="false">
      <c r="A7" s="19" t="s">
        <v>480</v>
      </c>
      <c r="B7" s="37" t="n">
        <f aca="false">Assumptions!E17*(1-Assumptions!B60)</f>
        <v>37814819.52</v>
      </c>
    </row>
    <row r="8" customFormat="false" ht="15" hidden="false" customHeight="true" outlineLevel="0" collapsed="false">
      <c r="A8" s="19" t="s">
        <v>463</v>
      </c>
      <c r="B8" s="37" t="n">
        <f aca="false">Assumptions!B43</f>
        <v>23400000</v>
      </c>
    </row>
    <row r="9" customFormat="false" ht="15" hidden="false" customHeight="true" outlineLevel="0" collapsed="false">
      <c r="A9" s="27" t="s">
        <v>481</v>
      </c>
      <c r="B9" s="27" t="n">
        <f aca="false">Assumptions!E17*(1-Assumptions!B60)+Assumptions!B43</f>
        <v>61214819.52</v>
      </c>
    </row>
    <row r="11" customFormat="false" ht="18" hidden="false" customHeight="true" outlineLevel="0" collapsed="false">
      <c r="A11" s="4" t="s">
        <v>482</v>
      </c>
      <c r="B11" s="5"/>
      <c r="C11" s="5"/>
      <c r="D11" s="5"/>
    </row>
    <row r="12" customFormat="false" ht="15" hidden="false" customHeight="true" outlineLevel="0" collapsed="false">
      <c r="A12" s="19" t="s">
        <v>315</v>
      </c>
      <c r="B12" s="37" t="n">
        <f aca="false">'Dev Budget'!B13</f>
        <v>23588700</v>
      </c>
    </row>
    <row r="13" customFormat="false" ht="15" hidden="false" customHeight="true" outlineLevel="0" collapsed="false">
      <c r="A13" s="19" t="s">
        <v>324</v>
      </c>
      <c r="B13" s="37" t="n">
        <f aca="false">'Dev Budget'!B17</f>
        <v>1403000</v>
      </c>
    </row>
    <row r="14" customFormat="false" ht="15" hidden="false" customHeight="true" outlineLevel="0" collapsed="false">
      <c r="A14" s="19" t="s">
        <v>483</v>
      </c>
      <c r="B14" s="37" t="n">
        <f aca="false">Assumptions!B56</f>
        <v>11387289</v>
      </c>
    </row>
    <row r="15" customFormat="false" ht="15" hidden="false" customHeight="true" outlineLevel="0" collapsed="false">
      <c r="A15" s="19" t="s">
        <v>484</v>
      </c>
      <c r="B15" s="37" t="n">
        <f aca="false">'Dev Budget'!B19</f>
        <v>1249585</v>
      </c>
    </row>
    <row r="16" customFormat="false" ht="15" hidden="false" customHeight="true" outlineLevel="0" collapsed="false">
      <c r="A16" s="19" t="s">
        <v>338</v>
      </c>
      <c r="B16" s="37" t="n">
        <f aca="false">'Dev Budget'!B27</f>
        <v>430378</v>
      </c>
    </row>
    <row r="17" customFormat="false" ht="15" hidden="false" customHeight="true" outlineLevel="0" collapsed="false">
      <c r="A17" s="19" t="s">
        <v>485</v>
      </c>
      <c r="B17" s="37" t="n">
        <f aca="false">'Dev Budget'!B28</f>
        <v>1575617.48</v>
      </c>
    </row>
    <row r="18" customFormat="false" ht="15" hidden="false" customHeight="true" outlineLevel="0" collapsed="false">
      <c r="A18" s="27" t="s">
        <v>486</v>
      </c>
      <c r="B18" s="27" t="n">
        <f aca="false">'Dev Budget'!B30</f>
        <v>38058952</v>
      </c>
    </row>
    <row r="20" customFormat="false" ht="18" hidden="false" customHeight="true" outlineLevel="0" collapsed="false">
      <c r="A20" s="4" t="s">
        <v>487</v>
      </c>
      <c r="B20" s="5"/>
      <c r="C20" s="5"/>
      <c r="D20" s="5"/>
    </row>
    <row r="21" customFormat="false" ht="15" hidden="false" customHeight="true" outlineLevel="0" collapsed="false">
      <c r="A21" s="66" t="s">
        <v>488</v>
      </c>
      <c r="B21" s="38" t="n">
        <f aca="false">Assumptions!E17*(1-Assumptions!B60)+Assumptions!B43-'Dev Budget'!B30</f>
        <v>23155867.52</v>
      </c>
    </row>
    <row r="22" customFormat="false" ht="15" hidden="false" customHeight="true" outlineLevel="0" collapsed="false">
      <c r="A22" s="19" t="s">
        <v>489</v>
      </c>
      <c r="B22" s="38" t="n">
        <f aca="false">('Pro Forma'!B21)*Assumptions!B58</f>
        <v>11577933.76</v>
      </c>
    </row>
    <row r="23" customFormat="false" ht="15" hidden="false" customHeight="true" outlineLevel="0" collapsed="false">
      <c r="A23" s="19" t="s">
        <v>490</v>
      </c>
      <c r="B23" s="38" t="n">
        <f aca="false">('Pro Forma'!B21)*Assumptions!B59</f>
        <v>11577933.76</v>
      </c>
    </row>
    <row r="25" customFormat="false" ht="18" hidden="false" customHeight="true" outlineLevel="0" collapsed="false">
      <c r="A25" s="4" t="s">
        <v>491</v>
      </c>
      <c r="B25" s="5"/>
      <c r="C25" s="5"/>
      <c r="D25" s="5"/>
      <c r="E25" s="5"/>
      <c r="F25" s="5"/>
      <c r="G25" s="5"/>
    </row>
    <row r="26" customFormat="false" ht="15" hidden="false" customHeight="true" outlineLevel="0" collapsed="false">
      <c r="A26" s="23" t="s">
        <v>76</v>
      </c>
      <c r="B26" s="23" t="s">
        <v>77</v>
      </c>
      <c r="C26" s="23" t="s">
        <v>3</v>
      </c>
      <c r="D26" s="23" t="s">
        <v>492</v>
      </c>
      <c r="E26" s="23" t="s">
        <v>79</v>
      </c>
      <c r="F26" s="23" t="s">
        <v>80</v>
      </c>
      <c r="G26" s="23" t="s">
        <v>493</v>
      </c>
    </row>
    <row r="27" customFormat="false" ht="15" hidden="false" customHeight="true" outlineLevel="0" collapsed="false">
      <c r="A27" s="19" t="s">
        <v>217</v>
      </c>
      <c r="B27" s="43" t="n">
        <f aca="false">Assumptions!B14</f>
        <v>8</v>
      </c>
      <c r="C27" s="42" t="n">
        <f aca="false">Assumptions!C14</f>
        <v>27.6</v>
      </c>
      <c r="D27" s="28" t="n">
        <f aca="false">Assumptions!C14*43560</f>
        <v>1202256</v>
      </c>
      <c r="E27" s="45" t="n">
        <f aca="false">Assumptions!D14</f>
        <v>7.653</v>
      </c>
      <c r="F27" s="37" t="n">
        <f aca="false">Assumptions!E14</f>
        <v>9190000</v>
      </c>
      <c r="G27" s="26" t="n">
        <f aca="false">F27/F30</f>
        <v>0.233305357846119</v>
      </c>
    </row>
    <row r="28" customFormat="false" ht="15" hidden="false" customHeight="true" outlineLevel="0" collapsed="false">
      <c r="A28" s="19" t="s">
        <v>218</v>
      </c>
      <c r="B28" s="43" t="n">
        <f aca="false">Assumptions!B15</f>
        <v>18</v>
      </c>
      <c r="C28" s="42" t="n">
        <f aca="false">Assumptions!C15</f>
        <v>23.5</v>
      </c>
      <c r="D28" s="28" t="n">
        <f aca="false">Assumptions!C15*43560</f>
        <v>1023660</v>
      </c>
      <c r="E28" s="45" t="n">
        <f aca="false">Assumptions!D15</f>
        <v>14.556</v>
      </c>
      <c r="F28" s="37" t="n">
        <f aca="false">Assumptions!E15</f>
        <v>14900000</v>
      </c>
      <c r="G28" s="26" t="n">
        <f aca="false">F28/F30</f>
        <v>0.378264399554643</v>
      </c>
    </row>
    <row r="29" customFormat="false" ht="15" hidden="false" customHeight="true" outlineLevel="0" collapsed="false">
      <c r="A29" s="19" t="s">
        <v>84</v>
      </c>
      <c r="B29" s="43" t="n">
        <f aca="false">Assumptions!B16</f>
        <v>4</v>
      </c>
      <c r="C29" s="42" t="n">
        <f aca="false">Assumptions!C16</f>
        <v>48.5</v>
      </c>
      <c r="D29" s="28" t="n">
        <f aca="false">Assumptions!C16*43560</f>
        <v>2112660</v>
      </c>
      <c r="E29" s="45" t="n">
        <f aca="false">Assumptions!D16</f>
        <v>7.242</v>
      </c>
      <c r="F29" s="37" t="n">
        <f aca="false">Assumptions!E16</f>
        <v>15300437</v>
      </c>
      <c r="G29" s="26" t="n">
        <f aca="false">F29/F30</f>
        <v>0.388430242599238</v>
      </c>
    </row>
    <row r="30" customFormat="false" ht="15" hidden="false" customHeight="true" outlineLevel="0" collapsed="false">
      <c r="A30" s="27" t="s">
        <v>219</v>
      </c>
      <c r="B30" s="46" t="n">
        <f aca="false">SUM(B27:B29)</f>
        <v>30</v>
      </c>
      <c r="C30" s="47" t="n">
        <f aca="false">SUM(C27:C29)</f>
        <v>99.6</v>
      </c>
      <c r="D30" s="46" t="n">
        <f aca="false">SUM(D27:D29)</f>
        <v>4338576</v>
      </c>
      <c r="F30" s="27" t="n">
        <f aca="false">SUM(F27:F29)</f>
        <v>39390437</v>
      </c>
      <c r="G30" s="30" t="n">
        <f aca="false">1</f>
        <v>1</v>
      </c>
    </row>
    <row r="32" customFormat="false" ht="18" hidden="false" customHeight="true" outlineLevel="0" collapsed="false">
      <c r="A32" s="4" t="s">
        <v>494</v>
      </c>
      <c r="B32" s="5"/>
      <c r="C32" s="5"/>
      <c r="D32" s="5"/>
      <c r="E32" s="5"/>
      <c r="F32" s="5"/>
      <c r="G32" s="5"/>
    </row>
    <row r="33" customFormat="false" ht="15" hidden="false" customHeight="true" outlineLevel="0" collapsed="false">
      <c r="A33" s="40" t="s">
        <v>495</v>
      </c>
    </row>
    <row r="34" customFormat="false" ht="15" hidden="false" customHeight="true" outlineLevel="0" collapsed="false">
      <c r="A34" s="23" t="s">
        <v>76</v>
      </c>
      <c r="B34" s="23" t="s">
        <v>496</v>
      </c>
      <c r="C34" s="23" t="s">
        <v>497</v>
      </c>
      <c r="D34" s="23" t="s">
        <v>498</v>
      </c>
      <c r="E34" s="23" t="s">
        <v>5</v>
      </c>
      <c r="F34" s="23" t="s">
        <v>11</v>
      </c>
    </row>
    <row r="35" customFormat="false" ht="15" hidden="false" customHeight="true" outlineLevel="0" collapsed="false">
      <c r="A35" s="19" t="s">
        <v>217</v>
      </c>
      <c r="B35" s="29" t="n">
        <f aca="false">Assumptions!B14/(Assumptions!B24-Assumptions!B23+1)</f>
        <v>0.444444444444444</v>
      </c>
      <c r="C35" s="43" t="n">
        <f aca="false">Assumptions!B23</f>
        <v>5</v>
      </c>
      <c r="D35" s="43" t="n">
        <f aca="false">Assumptions!B24</f>
        <v>22</v>
      </c>
    </row>
    <row r="36" customFormat="false" ht="15" hidden="false" customHeight="true" outlineLevel="0" collapsed="false">
      <c r="A36" s="19" t="s">
        <v>218</v>
      </c>
      <c r="B36" s="29" t="n">
        <f aca="false">Assumptions!B15/(Assumptions!B24-Assumptions!B23+1)</f>
        <v>1</v>
      </c>
      <c r="C36" s="43" t="n">
        <f aca="false">Assumptions!B23</f>
        <v>5</v>
      </c>
      <c r="D36" s="43" t="n">
        <f aca="false">Assumptions!B24</f>
        <v>22</v>
      </c>
    </row>
    <row r="37" customFormat="false" ht="15" hidden="false" customHeight="true" outlineLevel="0" collapsed="false">
      <c r="A37" s="19" t="s">
        <v>84</v>
      </c>
      <c r="B37" s="29" t="n">
        <f aca="false">Assumptions!B16/(Assumptions!B24-Assumptions!B23+1)</f>
        <v>0.222222222222222</v>
      </c>
      <c r="C37" s="43" t="n">
        <f aca="false">Assumptions!B23</f>
        <v>5</v>
      </c>
      <c r="D37" s="43" t="n">
        <f aca="false">Assumptions!B24</f>
        <v>22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5" min="2" style="1" width="18"/>
    <col collapsed="false" customWidth="true" hidden="false" outlineLevel="0" max="6" min="6" style="1" width="22"/>
  </cols>
  <sheetData>
    <row r="1" customFormat="false" ht="27.75" hidden="false" customHeight="true" outlineLevel="0" collapsed="false">
      <c r="A1" s="17" t="s">
        <v>499</v>
      </c>
      <c r="B1" s="17"/>
      <c r="C1" s="17"/>
      <c r="D1" s="17"/>
      <c r="E1" s="17"/>
      <c r="F1" s="17"/>
    </row>
    <row r="2" customFormat="false" ht="27.75" hidden="false" customHeight="true" outlineLevel="0" collapsed="false">
      <c r="A2" s="18" t="s">
        <v>500</v>
      </c>
      <c r="B2" s="18"/>
      <c r="C2" s="18"/>
      <c r="D2" s="18"/>
      <c r="E2" s="18"/>
      <c r="F2" s="18"/>
    </row>
    <row r="4" customFormat="false" ht="18" hidden="false" customHeight="true" outlineLevel="0" collapsed="false">
      <c r="A4" s="4" t="s">
        <v>501</v>
      </c>
      <c r="B4" s="5"/>
      <c r="C4" s="5"/>
      <c r="D4" s="5"/>
      <c r="E4" s="5"/>
      <c r="F4" s="5"/>
    </row>
    <row r="5" customFormat="false" ht="15" hidden="false" customHeight="true" outlineLevel="0" collapsed="false">
      <c r="A5" s="23"/>
      <c r="B5" s="23" t="s">
        <v>502</v>
      </c>
      <c r="C5" s="23" t="s">
        <v>503</v>
      </c>
      <c r="D5" s="23" t="s">
        <v>504</v>
      </c>
    </row>
    <row r="6" customFormat="false" ht="15" hidden="false" customHeight="true" outlineLevel="0" collapsed="false">
      <c r="A6" s="19" t="s">
        <v>505</v>
      </c>
      <c r="B6" s="37" t="n">
        <f aca="false">Assumptions!B56</f>
        <v>11387289</v>
      </c>
      <c r="C6" s="25" t="n">
        <v>0</v>
      </c>
      <c r="D6" s="38" t="n">
        <f aca="false">B6+C6</f>
        <v>11387289</v>
      </c>
    </row>
    <row r="8" customFormat="false" ht="18" hidden="false" customHeight="true" outlineLevel="0" collapsed="false">
      <c r="A8" s="4" t="s">
        <v>506</v>
      </c>
      <c r="B8" s="5"/>
      <c r="C8" s="5"/>
      <c r="D8" s="5"/>
      <c r="E8" s="5"/>
      <c r="F8" s="5"/>
    </row>
    <row r="9" customFormat="false" ht="15" hidden="false" customHeight="true" outlineLevel="0" collapsed="false">
      <c r="A9" s="19" t="s">
        <v>507</v>
      </c>
      <c r="B9" s="38" t="n">
        <f aca="false">Assumptions!B56</f>
        <v>11387289</v>
      </c>
      <c r="C9" s="38" t="n">
        <f aca="false">0</f>
        <v>0</v>
      </c>
    </row>
    <row r="10" customFormat="false" ht="15" hidden="false" customHeight="true" outlineLevel="0" collapsed="false">
      <c r="A10" s="19" t="s">
        <v>508</v>
      </c>
      <c r="B10" s="38" t="n">
        <f aca="false">Assumptions!B56*Assumptions!B57</f>
        <v>910983.12</v>
      </c>
      <c r="C10" s="38" t="n">
        <f aca="false">0</f>
        <v>0</v>
      </c>
      <c r="E10" s="40" t="s">
        <v>509</v>
      </c>
    </row>
    <row r="11" customFormat="false" ht="15" hidden="false" customHeight="true" outlineLevel="0" collapsed="false">
      <c r="A11" s="19" t="s">
        <v>510</v>
      </c>
      <c r="B11" s="38" t="n">
        <f aca="false">0</f>
        <v>0</v>
      </c>
      <c r="C11" s="38" t="n">
        <f aca="false">'Dev Budget'!B19</f>
        <v>1249585</v>
      </c>
    </row>
    <row r="12" customFormat="false" ht="15" hidden="false" customHeight="true" outlineLevel="0" collapsed="false">
      <c r="A12" s="19" t="s">
        <v>511</v>
      </c>
      <c r="E12" s="40" t="s">
        <v>512</v>
      </c>
    </row>
    <row r="13" customFormat="false" ht="15" hidden="false" customHeight="true" outlineLevel="0" collapsed="false">
      <c r="A13" s="19" t="s">
        <v>513</v>
      </c>
      <c r="B13" s="38" t="n">
        <f aca="false">(Assumptions!E17*(1-Assumptions!B60)+Assumptions!B43-'Dev Budget'!B30)-Assumptions!B56-Assumptions!B56*Assumptions!B57</f>
        <v>10857595.4</v>
      </c>
    </row>
    <row r="14" customFormat="false" ht="15" hidden="false" customHeight="true" outlineLevel="0" collapsed="false">
      <c r="A14" s="19" t="s">
        <v>514</v>
      </c>
      <c r="B14" s="38" t="n">
        <f aca="false">B13*Assumptions!B59</f>
        <v>5428797.7</v>
      </c>
    </row>
    <row r="15" customFormat="false" ht="15" hidden="false" customHeight="true" outlineLevel="0" collapsed="false">
      <c r="A15" s="19" t="s">
        <v>515</v>
      </c>
      <c r="C15" s="38" t="n">
        <f aca="false">B13*Assumptions!B58</f>
        <v>5428797.7</v>
      </c>
    </row>
    <row r="17" customFormat="false" ht="18" hidden="false" customHeight="true" outlineLevel="0" collapsed="false">
      <c r="A17" s="4" t="s">
        <v>516</v>
      </c>
      <c r="B17" s="5"/>
      <c r="C17" s="5"/>
      <c r="D17" s="5"/>
      <c r="E17" s="5"/>
      <c r="F17" s="5"/>
    </row>
    <row r="18" customFormat="false" ht="15" hidden="false" customHeight="true" outlineLevel="0" collapsed="false">
      <c r="A18" s="23"/>
      <c r="B18" s="23" t="s">
        <v>502</v>
      </c>
      <c r="C18" s="23" t="s">
        <v>503</v>
      </c>
      <c r="D18" s="23" t="s">
        <v>504</v>
      </c>
    </row>
    <row r="19" customFormat="false" ht="15" hidden="false" customHeight="true" outlineLevel="0" collapsed="false">
      <c r="A19" s="19" t="s">
        <v>517</v>
      </c>
      <c r="B19" s="38" t="n">
        <f aca="false">Assumptions!B56+Assumptions!B56*Assumptions!B57+B12*Assumptions!B59</f>
        <v>12298272.12</v>
      </c>
      <c r="C19" s="38" t="n">
        <f aca="false">'Dev Budget'!B19+B13*Assumptions!B58</f>
        <v>6678382.7</v>
      </c>
      <c r="D19" s="38" t="n">
        <f aca="false">B19+C19</f>
        <v>18976654.82</v>
      </c>
    </row>
    <row r="20" customFormat="false" ht="15" hidden="false" customHeight="true" outlineLevel="0" collapsed="false">
      <c r="A20" s="19" t="s">
        <v>518</v>
      </c>
      <c r="B20" s="38" t="n">
        <f aca="false">B19-Assumptions!B56</f>
        <v>910983.119999999</v>
      </c>
      <c r="C20" s="38" t="n">
        <f aca="false">C19</f>
        <v>6678382.7</v>
      </c>
      <c r="D20" s="38" t="n">
        <f aca="false">B20+C20</f>
        <v>7589365.82</v>
      </c>
    </row>
    <row r="21" customFormat="false" ht="15" hidden="false" customHeight="true" outlineLevel="0" collapsed="false">
      <c r="A21" s="19" t="s">
        <v>519</v>
      </c>
      <c r="B21" s="31" t="n">
        <v>0.393</v>
      </c>
      <c r="C21" s="31" t="n">
        <v>0.636</v>
      </c>
    </row>
    <row r="22" customFormat="false" ht="15" hidden="false" customHeight="true" outlineLevel="0" collapsed="false">
      <c r="A22" s="19" t="s">
        <v>520</v>
      </c>
      <c r="B22" s="65" t="n">
        <v>2.11</v>
      </c>
      <c r="C22" s="65" t="n">
        <v>3.03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5" min="5" style="1" width="35"/>
    <col collapsed="false" customWidth="true" hidden="false" outlineLevel="0" max="6" min="6" style="1" width="20"/>
    <col collapsed="false" customWidth="true" hidden="false" outlineLevel="0" max="7" min="7" style="1" width="16"/>
  </cols>
  <sheetData>
    <row r="1" customFormat="false" ht="27.75" hidden="false" customHeight="true" outlineLevel="0" collapsed="false">
      <c r="A1" s="17" t="s">
        <v>521</v>
      </c>
      <c r="B1" s="17"/>
      <c r="C1" s="17"/>
      <c r="D1" s="17"/>
      <c r="E1" s="17"/>
      <c r="F1" s="17"/>
      <c r="G1" s="17"/>
    </row>
    <row r="2" customFormat="false" ht="27.75" hidden="false" customHeight="true" outlineLevel="0" collapsed="false">
      <c r="A2" s="18" t="s">
        <v>522</v>
      </c>
      <c r="B2" s="18"/>
      <c r="C2" s="18"/>
      <c r="D2" s="18"/>
      <c r="E2" s="18"/>
      <c r="F2" s="18"/>
      <c r="G2" s="18"/>
    </row>
    <row r="4" customFormat="false" ht="18" hidden="false" customHeight="true" outlineLevel="0" collapsed="false">
      <c r="A4" s="4" t="s">
        <v>523</v>
      </c>
      <c r="B4" s="5"/>
      <c r="C4" s="5"/>
      <c r="E4" s="4" t="s">
        <v>524</v>
      </c>
      <c r="F4" s="5"/>
      <c r="G4" s="5"/>
    </row>
    <row r="5" customFormat="false" ht="15" hidden="false" customHeight="true" outlineLevel="0" collapsed="false">
      <c r="A5" s="23" t="s">
        <v>525</v>
      </c>
      <c r="B5" s="23" t="s">
        <v>292</v>
      </c>
      <c r="C5" s="23" t="s">
        <v>223</v>
      </c>
      <c r="E5" s="23" t="s">
        <v>525</v>
      </c>
      <c r="F5" s="23" t="s">
        <v>292</v>
      </c>
      <c r="G5" s="23" t="s">
        <v>223</v>
      </c>
    </row>
    <row r="6" customFormat="false" ht="15" hidden="false" customHeight="true" outlineLevel="0" collapsed="false">
      <c r="A6" s="19" t="s">
        <v>526</v>
      </c>
      <c r="B6" s="21" t="n">
        <v>18</v>
      </c>
      <c r="C6" s="40" t="s">
        <v>527</v>
      </c>
      <c r="E6" s="19" t="s">
        <v>528</v>
      </c>
      <c r="F6" s="28" t="n">
        <f aca="false">Assumptions!B22</f>
        <v>50</v>
      </c>
      <c r="G6" s="40" t="s">
        <v>529</v>
      </c>
    </row>
    <row r="7" customFormat="false" ht="15" hidden="false" customHeight="true" outlineLevel="0" collapsed="false">
      <c r="A7" s="19" t="s">
        <v>530</v>
      </c>
      <c r="B7" s="38" t="n">
        <f aca="false">Assumptions!B56</f>
        <v>11387289</v>
      </c>
      <c r="C7" s="40" t="s">
        <v>531</v>
      </c>
      <c r="E7" s="19" t="s">
        <v>330</v>
      </c>
      <c r="F7" s="38" t="n">
        <f aca="false">Assumptions!E17*(1-Assumptions!B60)+Assumptions!B43</f>
        <v>61214819.52</v>
      </c>
      <c r="G7" s="40" t="s">
        <v>532</v>
      </c>
    </row>
    <row r="8" customFormat="false" ht="15" hidden="false" customHeight="true" outlineLevel="0" collapsed="false">
      <c r="A8" s="19" t="s">
        <v>533</v>
      </c>
      <c r="B8" s="38" t="n">
        <f aca="false">Assumptions!B56*Assumptions!B57*(18/12)</f>
        <v>1366474.68</v>
      </c>
      <c r="C8" s="40" t="s">
        <v>534</v>
      </c>
      <c r="E8" s="19" t="s">
        <v>535</v>
      </c>
      <c r="F8" s="38" t="n">
        <f aca="false">'Dev Budget'!B30</f>
        <v>38058952</v>
      </c>
      <c r="G8" s="40" t="s">
        <v>536</v>
      </c>
    </row>
    <row r="9" customFormat="false" ht="15" hidden="false" customHeight="true" outlineLevel="0" collapsed="false">
      <c r="A9" s="19" t="s">
        <v>537</v>
      </c>
      <c r="B9" s="38" t="n">
        <f aca="false">Assumptions!B56+Assumptions!B56*Assumptions!B57*(18/12)</f>
        <v>12753763.68</v>
      </c>
      <c r="C9" s="40"/>
      <c r="E9" s="19" t="s">
        <v>538</v>
      </c>
      <c r="F9" s="38" t="n">
        <f aca="false">F7-F8</f>
        <v>23155867.52</v>
      </c>
      <c r="G9" s="40"/>
    </row>
    <row r="10" customFormat="false" ht="15" hidden="false" customHeight="true" outlineLevel="0" collapsed="false">
      <c r="A10" s="19" t="s">
        <v>539</v>
      </c>
      <c r="B10" s="38" t="n">
        <f aca="false">Assumptions!E16*(1-Assumptions!B60)+Assumptions!B56-'Dev Budget'!B30-B9</f>
        <v>-24737007.16</v>
      </c>
      <c r="C10" s="40" t="s">
        <v>540</v>
      </c>
      <c r="E10" s="19" t="s">
        <v>541</v>
      </c>
      <c r="F10" s="38" t="n">
        <f aca="false">F9*Assumptions!B58</f>
        <v>11577933.76</v>
      </c>
      <c r="G10" s="40"/>
    </row>
    <row r="11" customFormat="false" ht="15" hidden="false" customHeight="true" outlineLevel="0" collapsed="false">
      <c r="E11" s="19" t="s">
        <v>542</v>
      </c>
      <c r="F11" s="38" t="n">
        <f aca="false">F9*Assumptions!B59</f>
        <v>11577933.76</v>
      </c>
      <c r="G11" s="40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7" min="2" style="1" width="18"/>
  </cols>
  <sheetData>
    <row r="1" customFormat="false" ht="27.75" hidden="false" customHeight="true" outlineLevel="0" collapsed="false">
      <c r="A1" s="17" t="s">
        <v>543</v>
      </c>
      <c r="B1" s="17"/>
      <c r="C1" s="17"/>
      <c r="D1" s="17"/>
      <c r="E1" s="17"/>
      <c r="F1" s="17"/>
      <c r="G1" s="17"/>
    </row>
    <row r="2" customFormat="false" ht="27.75" hidden="false" customHeight="true" outlineLevel="0" collapsed="false">
      <c r="A2" s="18" t="s">
        <v>544</v>
      </c>
      <c r="B2" s="18"/>
      <c r="C2" s="18"/>
      <c r="D2" s="18"/>
      <c r="E2" s="18"/>
      <c r="F2" s="18"/>
      <c r="G2" s="18"/>
    </row>
    <row r="4" customFormat="false" ht="18" hidden="false" customHeight="true" outlineLevel="0" collapsed="false">
      <c r="A4" s="4" t="s">
        <v>545</v>
      </c>
      <c r="B4" s="5"/>
      <c r="C4" s="5"/>
      <c r="D4" s="5"/>
      <c r="E4" s="5"/>
      <c r="F4" s="5"/>
      <c r="G4" s="5"/>
    </row>
    <row r="5" customFormat="false" ht="15" hidden="false" customHeight="true" outlineLevel="0" collapsed="false">
      <c r="A5" s="23"/>
      <c r="B5" s="23" t="s">
        <v>546</v>
      </c>
      <c r="C5" s="23" t="s">
        <v>547</v>
      </c>
      <c r="D5" s="23" t="s">
        <v>548</v>
      </c>
    </row>
    <row r="6" customFormat="false" ht="15" hidden="false" customHeight="true" outlineLevel="0" collapsed="false">
      <c r="A6" s="67" t="s">
        <v>549</v>
      </c>
    </row>
    <row r="7" customFormat="false" ht="15" hidden="false" customHeight="true" outlineLevel="0" collapsed="false">
      <c r="A7" s="19" t="s">
        <v>550</v>
      </c>
      <c r="B7" s="38" t="n">
        <f aca="false">Assumptions!B56</f>
        <v>11387289</v>
      </c>
      <c r="C7" s="38" t="n">
        <f aca="false">Assumptions!B56</f>
        <v>11387289</v>
      </c>
      <c r="D7" s="38" t="n">
        <f aca="false">0</f>
        <v>0</v>
      </c>
    </row>
    <row r="8" customFormat="false" ht="15" hidden="false" customHeight="true" outlineLevel="0" collapsed="false">
      <c r="A8" s="19" t="s">
        <v>551</v>
      </c>
      <c r="B8" s="38" t="n">
        <f aca="false">0</f>
        <v>0</v>
      </c>
      <c r="C8" s="38" t="n">
        <f aca="false">'Dev Budget'!B13*0.5</f>
        <v>11794350</v>
      </c>
      <c r="D8" s="38" t="n">
        <f aca="false">0</f>
        <v>0</v>
      </c>
    </row>
    <row r="9" customFormat="false" ht="15" hidden="false" customHeight="true" outlineLevel="0" collapsed="false">
      <c r="A9" s="19" t="s">
        <v>552</v>
      </c>
      <c r="B9" s="38" t="n">
        <f aca="false">0</f>
        <v>0</v>
      </c>
      <c r="C9" s="38" t="n">
        <f aca="false">Assumptions!B43*0.5</f>
        <v>11700000</v>
      </c>
      <c r="D9" s="38" t="n">
        <f aca="false">Assumptions!B43</f>
        <v>23400000</v>
      </c>
    </row>
    <row r="10" customFormat="false" ht="15" hidden="false" customHeight="true" outlineLevel="0" collapsed="false">
      <c r="A10" s="19" t="s">
        <v>553</v>
      </c>
      <c r="B10" s="38" t="n">
        <f aca="false">0</f>
        <v>0</v>
      </c>
      <c r="C10" s="38" t="n">
        <f aca="false">Assumptions!E16*0.5</f>
        <v>7650218.5</v>
      </c>
      <c r="D10" s="38" t="n">
        <f aca="false">0</f>
        <v>0</v>
      </c>
    </row>
    <row r="11" customFormat="false" ht="15" hidden="false" customHeight="true" outlineLevel="0" collapsed="false">
      <c r="A11" s="27" t="s">
        <v>554</v>
      </c>
      <c r="B11" s="27" t="n">
        <f aca="false">SUM(B7:B10)</f>
        <v>11387289</v>
      </c>
      <c r="C11" s="27" t="n">
        <f aca="false">SUM(C7:C10)</f>
        <v>42531857.5</v>
      </c>
      <c r="D11" s="27" t="n">
        <f aca="false">SUM(D7:D10)</f>
        <v>23400000</v>
      </c>
    </row>
    <row r="13" customFormat="false" ht="15" hidden="false" customHeight="true" outlineLevel="0" collapsed="false">
      <c r="A13" s="67" t="s">
        <v>555</v>
      </c>
    </row>
    <row r="14" customFormat="false" ht="15" hidden="false" customHeight="true" outlineLevel="0" collapsed="false">
      <c r="A14" s="19" t="s">
        <v>464</v>
      </c>
      <c r="B14" s="38" t="n">
        <f aca="false">0</f>
        <v>0</v>
      </c>
      <c r="C14" s="38" t="n">
        <f aca="false">Assumptions!B52*0.5</f>
        <v>335767.5</v>
      </c>
      <c r="D14" s="38" t="n">
        <f aca="false">0</f>
        <v>0</v>
      </c>
    </row>
    <row r="15" customFormat="false" ht="15" hidden="false" customHeight="true" outlineLevel="0" collapsed="false">
      <c r="A15" s="19" t="s">
        <v>556</v>
      </c>
      <c r="B15" s="38" t="n">
        <f aca="false">0</f>
        <v>0</v>
      </c>
      <c r="C15" s="38" t="n">
        <f aca="false">Assumptions!B56*Assumptions!B57*(Assumptions!B24*0.5/12)</f>
        <v>835067.86</v>
      </c>
      <c r="D15" s="38" t="n">
        <f aca="false">Assumptions!B56*Assumptions!B57*(Assumptions!B24/12)</f>
        <v>1670135.72</v>
      </c>
    </row>
    <row r="16" customFormat="false" ht="15" hidden="false" customHeight="true" outlineLevel="0" collapsed="false">
      <c r="A16" s="27" t="s">
        <v>557</v>
      </c>
      <c r="B16" s="27" t="n">
        <f aca="false">B14+B13</f>
        <v>0</v>
      </c>
      <c r="C16" s="27" t="n">
        <f aca="false">C14+C13</f>
        <v>335767.5</v>
      </c>
      <c r="D16" s="27" t="n">
        <f aca="false">D14+D13</f>
        <v>0</v>
      </c>
    </row>
    <row r="18" customFormat="false" ht="15" hidden="false" customHeight="true" outlineLevel="0" collapsed="false">
      <c r="A18" s="67" t="s">
        <v>558</v>
      </c>
    </row>
    <row r="19" customFormat="false" ht="15" hidden="false" customHeight="true" outlineLevel="0" collapsed="false">
      <c r="A19" s="19" t="s">
        <v>559</v>
      </c>
      <c r="B19" s="38" t="n">
        <f aca="false">Assumptions!B56</f>
        <v>11387289</v>
      </c>
    </row>
    <row r="20" customFormat="false" ht="15" hidden="false" customHeight="true" outlineLevel="0" collapsed="false">
      <c r="A20" s="19" t="s">
        <v>560</v>
      </c>
      <c r="B20" s="38" t="n">
        <f aca="false">0</f>
        <v>0</v>
      </c>
    </row>
    <row r="21" customFormat="false" ht="15" hidden="false" customHeight="true" outlineLevel="0" collapsed="false">
      <c r="A21" s="19" t="s">
        <v>561</v>
      </c>
      <c r="B21" s="38" t="n">
        <f aca="false">0</f>
        <v>0</v>
      </c>
    </row>
    <row r="22" customFormat="false" ht="15" hidden="false" customHeight="true" outlineLevel="0" collapsed="false">
      <c r="A22" s="27" t="s">
        <v>562</v>
      </c>
      <c r="B22" s="27" t="n">
        <f aca="false">B20+B19</f>
        <v>11387289</v>
      </c>
      <c r="C22" s="27" t="n">
        <f aca="false">C20+C19</f>
        <v>0</v>
      </c>
      <c r="D22" s="27" t="n">
        <f aca="false">D20+D19</f>
        <v>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8"/>
    <col collapsed="false" customWidth="true" hidden="false" outlineLevel="0" max="4" min="3" style="1" width="14"/>
    <col collapsed="false" customWidth="true" hidden="false" outlineLevel="0" max="5" min="5" style="1" width="22"/>
  </cols>
  <sheetData>
    <row r="1" customFormat="false" ht="27.75" hidden="false" customHeight="true" outlineLevel="0" collapsed="false">
      <c r="A1" s="17" t="s">
        <v>563</v>
      </c>
      <c r="B1" s="17"/>
      <c r="C1" s="17"/>
      <c r="D1" s="17"/>
      <c r="E1" s="17"/>
    </row>
    <row r="2" customFormat="false" ht="27.75" hidden="false" customHeight="true" outlineLevel="0" collapsed="false">
      <c r="A2" s="18" t="s">
        <v>564</v>
      </c>
      <c r="B2" s="18"/>
      <c r="C2" s="18"/>
      <c r="D2" s="18"/>
      <c r="E2" s="18"/>
    </row>
    <row r="4" customFormat="false" ht="18" hidden="false" customHeight="true" outlineLevel="0" collapsed="false">
      <c r="A4" s="4" t="s">
        <v>565</v>
      </c>
      <c r="B4" s="5"/>
      <c r="C4" s="5"/>
    </row>
    <row r="5" customFormat="false" ht="15" hidden="false" customHeight="true" outlineLevel="0" collapsed="false">
      <c r="A5" s="19" t="s">
        <v>566</v>
      </c>
      <c r="B5" s="37" t="n">
        <f aca="false">Assumptions!E17</f>
        <v>39390437</v>
      </c>
    </row>
    <row r="6" customFormat="false" ht="15" hidden="false" customHeight="true" outlineLevel="0" collapsed="false">
      <c r="A6" s="19" t="s">
        <v>567</v>
      </c>
      <c r="B6" s="37" t="n">
        <f aca="false">-(Assumptions!B60*Assumptions!E17)</f>
        <v>-1575617.48</v>
      </c>
    </row>
    <row r="7" customFormat="false" ht="15" hidden="false" customHeight="true" outlineLevel="0" collapsed="false">
      <c r="A7" s="19" t="s">
        <v>480</v>
      </c>
      <c r="B7" s="37" t="n">
        <f aca="false">Assumptions!E17*(1-Assumptions!B60)</f>
        <v>37814819.52</v>
      </c>
    </row>
    <row r="8" customFormat="false" ht="15" hidden="false" customHeight="true" outlineLevel="0" collapsed="false">
      <c r="A8" s="19" t="s">
        <v>463</v>
      </c>
      <c r="B8" s="37" t="n">
        <f aca="false">Assumptions!B43</f>
        <v>23400000</v>
      </c>
    </row>
    <row r="9" customFormat="false" ht="15" hidden="false" customHeight="true" outlineLevel="0" collapsed="false">
      <c r="A9" s="27" t="s">
        <v>481</v>
      </c>
      <c r="B9" s="27" t="n">
        <f aca="false">Assumptions!E17*(1-Assumptions!B60)+Assumptions!B43</f>
        <v>61214819.52</v>
      </c>
    </row>
    <row r="11" customFormat="false" ht="18" hidden="false" customHeight="true" outlineLevel="0" collapsed="false">
      <c r="A11" s="4" t="s">
        <v>568</v>
      </c>
      <c r="B11" s="5"/>
      <c r="C11" s="5"/>
    </row>
    <row r="12" customFormat="false" ht="15" hidden="false" customHeight="true" outlineLevel="0" collapsed="false">
      <c r="A12" s="19" t="s">
        <v>97</v>
      </c>
      <c r="B12" s="37" t="n">
        <f aca="false">Assumptions!B29</f>
        <v>1993000</v>
      </c>
    </row>
    <row r="13" customFormat="false" ht="15" hidden="false" customHeight="true" outlineLevel="0" collapsed="false">
      <c r="A13" s="19" t="s">
        <v>98</v>
      </c>
      <c r="B13" s="37" t="n">
        <f aca="false">Assumptions!B30</f>
        <v>3432000</v>
      </c>
    </row>
    <row r="14" customFormat="false" ht="15" hidden="false" customHeight="true" outlineLevel="0" collapsed="false">
      <c r="A14" s="19" t="s">
        <v>99</v>
      </c>
      <c r="B14" s="37" t="n">
        <f aca="false">Assumptions!B31</f>
        <v>12527000</v>
      </c>
    </row>
    <row r="15" customFormat="false" ht="15" hidden="false" customHeight="true" outlineLevel="0" collapsed="false">
      <c r="A15" s="19" t="s">
        <v>100</v>
      </c>
      <c r="B15" s="37" t="n">
        <f aca="false">Assumptions!B32</f>
        <v>5098000</v>
      </c>
    </row>
    <row r="16" customFormat="false" ht="15" hidden="false" customHeight="true" outlineLevel="0" collapsed="false">
      <c r="A16" s="19" t="s">
        <v>101</v>
      </c>
      <c r="B16" s="37" t="n">
        <f aca="false">Assumptions!B33</f>
        <v>262000</v>
      </c>
    </row>
    <row r="17" customFormat="false" ht="15" hidden="false" customHeight="true" outlineLevel="0" collapsed="false">
      <c r="A17" s="19" t="s">
        <v>405</v>
      </c>
      <c r="B17" s="37" t="n">
        <f aca="false">Assumptions!B34</f>
        <v>276700</v>
      </c>
    </row>
    <row r="18" customFormat="false" ht="15" hidden="false" customHeight="true" outlineLevel="0" collapsed="false">
      <c r="A18" s="27" t="s">
        <v>569</v>
      </c>
      <c r="B18" s="27" t="n">
        <f aca="false">Assumptions!B35</f>
        <v>23588700</v>
      </c>
    </row>
    <row r="20" customFormat="false" ht="18" hidden="false" customHeight="true" outlineLevel="0" collapsed="false">
      <c r="A20" s="4" t="s">
        <v>104</v>
      </c>
      <c r="B20" s="5"/>
      <c r="C20" s="5"/>
    </row>
    <row r="21" customFormat="false" ht="15" hidden="false" customHeight="true" outlineLevel="0" collapsed="false">
      <c r="A21" s="19" t="s">
        <v>105</v>
      </c>
      <c r="B21" s="37" t="n">
        <f aca="false">Assumptions!B38</f>
        <v>1320000</v>
      </c>
    </row>
    <row r="22" customFormat="false" ht="15" hidden="false" customHeight="true" outlineLevel="0" collapsed="false">
      <c r="A22" s="19" t="s">
        <v>106</v>
      </c>
      <c r="B22" s="37" t="n">
        <f aca="false">Assumptions!B39</f>
        <v>83000</v>
      </c>
    </row>
    <row r="23" customFormat="false" ht="15" hidden="false" customHeight="true" outlineLevel="0" collapsed="false">
      <c r="A23" s="27" t="s">
        <v>165</v>
      </c>
      <c r="B23" s="27" t="n">
        <f aca="false">Assumptions!B40</f>
        <v>1403000</v>
      </c>
    </row>
    <row r="25" customFormat="false" ht="18" hidden="false" customHeight="true" outlineLevel="0" collapsed="false">
      <c r="A25" s="4" t="s">
        <v>570</v>
      </c>
      <c r="B25" s="5"/>
      <c r="C25" s="5"/>
    </row>
    <row r="26" customFormat="false" ht="15" hidden="false" customHeight="true" outlineLevel="0" collapsed="false">
      <c r="A26" s="19" t="s">
        <v>483</v>
      </c>
      <c r="B26" s="37" t="n">
        <f aca="false">Assumptions!B56</f>
        <v>11387289</v>
      </c>
    </row>
    <row r="27" customFormat="false" ht="15" hidden="false" customHeight="true" outlineLevel="0" collapsed="false">
      <c r="A27" s="19" t="s">
        <v>484</v>
      </c>
      <c r="B27" s="37" t="n">
        <f aca="false">'Dev Budget'!B19</f>
        <v>1249585</v>
      </c>
    </row>
    <row r="28" customFormat="false" ht="15" hidden="false" customHeight="true" outlineLevel="0" collapsed="false">
      <c r="A28" s="19" t="s">
        <v>571</v>
      </c>
      <c r="B28" s="37" t="n">
        <f aca="false">'Dev Budget'!B27</f>
        <v>430378</v>
      </c>
    </row>
    <row r="29" customFormat="false" ht="15" hidden="false" customHeight="true" outlineLevel="0" collapsed="false">
      <c r="A29" s="27" t="s">
        <v>572</v>
      </c>
      <c r="B29" s="27" t="n">
        <f aca="false">Assumptions!B56+'Dev Budget'!B19+'Dev Budget'!B27</f>
        <v>13067252</v>
      </c>
    </row>
    <row r="31" customFormat="false" ht="15" hidden="false" customHeight="true" outlineLevel="0" collapsed="false">
      <c r="A31" s="27" t="s">
        <v>573</v>
      </c>
      <c r="B31" s="27" t="n">
        <f aca="false">B9-B18-B23</f>
        <v>36223119.52</v>
      </c>
    </row>
    <row r="33" customFormat="false" ht="18" hidden="false" customHeight="true" outlineLevel="0" collapsed="false">
      <c r="A33" s="4" t="s">
        <v>574</v>
      </c>
      <c r="B33" s="5"/>
      <c r="C33" s="5"/>
    </row>
    <row r="34" customFormat="false" ht="15" hidden="false" customHeight="true" outlineLevel="0" collapsed="false">
      <c r="A34" s="19" t="s">
        <v>181</v>
      </c>
      <c r="B34" s="37" t="n">
        <f aca="false">Assumptions!B53</f>
        <v>25800</v>
      </c>
    </row>
    <row r="35" customFormat="false" ht="15" hidden="false" customHeight="true" outlineLevel="0" collapsed="false">
      <c r="A35" s="19" t="s">
        <v>455</v>
      </c>
      <c r="B35" s="37" t="n">
        <f aca="false">Assumptions!B49</f>
        <v>6700</v>
      </c>
    </row>
    <row r="36" customFormat="false" ht="15" hidden="false" customHeight="true" outlineLevel="0" collapsed="false">
      <c r="A36" s="19" t="s">
        <v>432</v>
      </c>
      <c r="B36" s="37" t="n">
        <f aca="false">Assumptions!B50</f>
        <v>6700</v>
      </c>
    </row>
    <row r="37" customFormat="false" ht="15" hidden="false" customHeight="true" outlineLevel="0" collapsed="false">
      <c r="A37" s="19" t="s">
        <v>433</v>
      </c>
      <c r="B37" s="37" t="n">
        <f aca="false">Assumptions!B44</f>
        <v>240000</v>
      </c>
    </row>
    <row r="38" customFormat="false" ht="15" hidden="false" customHeight="true" outlineLevel="0" collapsed="false">
      <c r="A38" s="19" t="s">
        <v>434</v>
      </c>
      <c r="B38" s="37" t="n">
        <f aca="false">Assumptions!B45</f>
        <v>150000</v>
      </c>
    </row>
    <row r="39" customFormat="false" ht="15" hidden="false" customHeight="true" outlineLevel="0" collapsed="false">
      <c r="A39" s="19" t="s">
        <v>435</v>
      </c>
      <c r="B39" s="37" t="n">
        <f aca="false">Assumptions!B51</f>
        <v>1178</v>
      </c>
    </row>
    <row r="40" customFormat="false" ht="15" hidden="false" customHeight="true" outlineLevel="0" collapsed="false">
      <c r="A40" s="27" t="s">
        <v>575</v>
      </c>
      <c r="B40" s="27" t="n">
        <f aca="false">'Dev Budget'!B27</f>
        <v>430378</v>
      </c>
    </row>
    <row r="42" customFormat="false" ht="15" hidden="false" customHeight="true" outlineLevel="0" collapsed="false">
      <c r="A42" s="27" t="s">
        <v>576</v>
      </c>
      <c r="B42" s="68" t="n">
        <f aca="false">B9-'Dev Budget'!B30</f>
        <v>23155867.52</v>
      </c>
    </row>
    <row r="44" customFormat="false" ht="18" hidden="false" customHeight="true" outlineLevel="0" collapsed="false">
      <c r="A44" s="4" t="s">
        <v>577</v>
      </c>
      <c r="B44" s="5"/>
      <c r="C44" s="5"/>
    </row>
    <row r="45" customFormat="false" ht="15" hidden="false" customHeight="true" outlineLevel="0" collapsed="false">
      <c r="A45" s="19" t="s">
        <v>578</v>
      </c>
      <c r="B45" s="38" t="n">
        <f aca="false">Assumptions!B56+Assumptions!B56*Assumptions!B57+B42*Assumptions!B59*0.5</f>
        <v>18087239</v>
      </c>
    </row>
    <row r="46" customFormat="false" ht="15" hidden="false" customHeight="true" outlineLevel="0" collapsed="false">
      <c r="A46" s="19" t="s">
        <v>579</v>
      </c>
      <c r="B46" s="38" t="n">
        <f aca="false">'Dev Budget'!B19+B42*Assumptions!B58*0.5</f>
        <v>7038551.88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10" min="2" style="1" width="14"/>
  </cols>
  <sheetData>
    <row r="1" customFormat="false" ht="27.75" hidden="false" customHeight="true" outlineLevel="0" collapsed="false">
      <c r="A1" s="17" t="s">
        <v>580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27.75" hidden="false" customHeight="true" outlineLevel="0" collapsed="false">
      <c r="A2" s="18" t="s">
        <v>581</v>
      </c>
      <c r="B2" s="18"/>
      <c r="C2" s="18"/>
      <c r="D2" s="18"/>
      <c r="E2" s="18"/>
      <c r="F2" s="18"/>
      <c r="G2" s="18"/>
      <c r="H2" s="18"/>
      <c r="I2" s="18"/>
      <c r="J2" s="18"/>
    </row>
    <row r="4" customFormat="false" ht="18" hidden="false" customHeight="true" outlineLevel="0" collapsed="false">
      <c r="A4" s="4" t="s">
        <v>582</v>
      </c>
      <c r="B4" s="5"/>
      <c r="C4" s="5"/>
      <c r="D4" s="5"/>
      <c r="E4" s="5"/>
      <c r="F4" s="5"/>
      <c r="G4" s="5"/>
      <c r="H4" s="5"/>
      <c r="I4" s="5"/>
      <c r="J4" s="5"/>
    </row>
    <row r="5" customFormat="false" ht="15" hidden="false" customHeight="true" outlineLevel="0" collapsed="false">
      <c r="A5" s="19" t="s">
        <v>583</v>
      </c>
      <c r="B5" s="23" t="s">
        <v>584</v>
      </c>
      <c r="C5" s="23" t="s">
        <v>585</v>
      </c>
      <c r="D5" s="23" t="s">
        <v>586</v>
      </c>
      <c r="E5" s="23" t="s">
        <v>587</v>
      </c>
      <c r="F5" s="23" t="s">
        <v>588</v>
      </c>
      <c r="G5" s="23" t="s">
        <v>589</v>
      </c>
      <c r="H5" s="23" t="s">
        <v>590</v>
      </c>
      <c r="I5" s="23" t="s">
        <v>591</v>
      </c>
      <c r="J5" s="23" t="s">
        <v>592</v>
      </c>
    </row>
    <row r="6" customFormat="false" ht="15" hidden="false" customHeight="true" outlineLevel="0" collapsed="false">
      <c r="A6" s="23" t="s">
        <v>593</v>
      </c>
    </row>
    <row r="7" customFormat="false" ht="15" hidden="false" customHeight="true" outlineLevel="0" collapsed="false">
      <c r="A7" s="19" t="s">
        <v>594</v>
      </c>
      <c r="B7" s="69" t="n">
        <v>10248118</v>
      </c>
      <c r="C7" s="69" t="n">
        <v>9009711.25</v>
      </c>
      <c r="D7" s="69" t="n">
        <v>7771304.5</v>
      </c>
      <c r="E7" s="69" t="n">
        <v>6532897.75</v>
      </c>
      <c r="F7" s="69" t="n">
        <v>5294491</v>
      </c>
      <c r="G7" s="69" t="n">
        <v>4056084.25</v>
      </c>
      <c r="H7" s="69" t="n">
        <v>2817677.5</v>
      </c>
      <c r="I7" s="69" t="n">
        <v>1579270.75</v>
      </c>
      <c r="J7" s="69" t="n">
        <v>340864</v>
      </c>
    </row>
    <row r="8" customFormat="false" ht="15" hidden="false" customHeight="true" outlineLevel="0" collapsed="false">
      <c r="A8" s="19" t="s">
        <v>595</v>
      </c>
      <c r="B8" s="69" t="n">
        <v>12243462.3</v>
      </c>
      <c r="C8" s="69" t="n">
        <v>11005055.55</v>
      </c>
      <c r="D8" s="69" t="n">
        <v>9766648.8</v>
      </c>
      <c r="E8" s="69" t="n">
        <v>8528242.05</v>
      </c>
      <c r="F8" s="69" t="n">
        <v>7289835.3</v>
      </c>
      <c r="G8" s="69" t="n">
        <v>6051428.55</v>
      </c>
      <c r="H8" s="69" t="n">
        <v>4813021.8</v>
      </c>
      <c r="I8" s="69" t="n">
        <v>3574615.05</v>
      </c>
      <c r="J8" s="69" t="n">
        <v>2336208.3</v>
      </c>
    </row>
    <row r="9" customFormat="false" ht="15" hidden="false" customHeight="true" outlineLevel="0" collapsed="false">
      <c r="A9" s="19" t="s">
        <v>596</v>
      </c>
      <c r="B9" s="69" t="n">
        <v>14238806.6</v>
      </c>
      <c r="C9" s="69" t="n">
        <v>13000399.85</v>
      </c>
      <c r="D9" s="69" t="n">
        <v>11761993.1</v>
      </c>
      <c r="E9" s="69" t="n">
        <v>10523586.35</v>
      </c>
      <c r="F9" s="69" t="n">
        <v>9285179.6</v>
      </c>
      <c r="G9" s="69" t="n">
        <v>8046772.85</v>
      </c>
      <c r="H9" s="69" t="n">
        <v>6808366.09999999</v>
      </c>
      <c r="I9" s="69" t="n">
        <v>5569959.35</v>
      </c>
      <c r="J9" s="69" t="n">
        <v>4331552.6</v>
      </c>
    </row>
    <row r="10" customFormat="false" ht="15" hidden="false" customHeight="true" outlineLevel="0" collapsed="false">
      <c r="A10" s="19" t="s">
        <v>597</v>
      </c>
      <c r="B10" s="69" t="n">
        <v>16234150.9</v>
      </c>
      <c r="C10" s="69" t="n">
        <v>14995744.15</v>
      </c>
      <c r="D10" s="69" t="n">
        <v>13757337.4</v>
      </c>
      <c r="E10" s="69" t="n">
        <v>12518930.65</v>
      </c>
      <c r="F10" s="69" t="n">
        <v>11280523.9</v>
      </c>
      <c r="G10" s="69" t="n">
        <v>10042117.15</v>
      </c>
      <c r="H10" s="69" t="n">
        <v>8803710.4</v>
      </c>
      <c r="I10" s="69" t="n">
        <v>7565303.65000001</v>
      </c>
      <c r="J10" s="69" t="n">
        <v>6326896.9</v>
      </c>
    </row>
    <row r="11" customFormat="false" ht="15" hidden="false" customHeight="true" outlineLevel="0" collapsed="false">
      <c r="A11" s="19" t="s">
        <v>598</v>
      </c>
      <c r="B11" s="69" t="n">
        <v>18229495.2</v>
      </c>
      <c r="C11" s="69" t="n">
        <v>16991088.45</v>
      </c>
      <c r="D11" s="69" t="n">
        <v>15752681.7</v>
      </c>
      <c r="E11" s="69" t="n">
        <v>14514274.95</v>
      </c>
      <c r="F11" s="69" t="n">
        <v>13275868.2</v>
      </c>
      <c r="G11" s="69" t="n">
        <v>12037461.45</v>
      </c>
      <c r="H11" s="69" t="n">
        <v>10799054.7</v>
      </c>
      <c r="I11" s="69" t="n">
        <v>9560647.95</v>
      </c>
      <c r="J11" s="69" t="n">
        <v>8322241.19999999</v>
      </c>
    </row>
    <row r="12" customFormat="false" ht="15" hidden="false" customHeight="true" outlineLevel="0" collapsed="false">
      <c r="A12" s="19" t="s">
        <v>599</v>
      </c>
      <c r="B12" s="69" t="n">
        <v>20224839.5</v>
      </c>
      <c r="C12" s="69" t="n">
        <v>18986432.75</v>
      </c>
      <c r="D12" s="69" t="n">
        <v>17748026</v>
      </c>
      <c r="E12" s="69" t="n">
        <v>16509619.25</v>
      </c>
      <c r="F12" s="69" t="n">
        <v>15271212.5</v>
      </c>
      <c r="G12" s="69" t="n">
        <v>14032805.75</v>
      </c>
      <c r="H12" s="69" t="n">
        <v>12794399</v>
      </c>
      <c r="I12" s="69" t="n">
        <v>11555992.25</v>
      </c>
      <c r="J12" s="69" t="n">
        <v>10317585.5</v>
      </c>
    </row>
    <row r="13" customFormat="false" ht="15" hidden="false" customHeight="true" outlineLevel="0" collapsed="false">
      <c r="A13" s="19" t="s">
        <v>600</v>
      </c>
      <c r="B13" s="70" t="n">
        <v>22220183.8</v>
      </c>
      <c r="C13" s="69" t="n">
        <v>20981777.05</v>
      </c>
      <c r="D13" s="69" t="n">
        <v>19743370.3</v>
      </c>
      <c r="E13" s="69" t="n">
        <v>18504963.55</v>
      </c>
      <c r="F13" s="69" t="n">
        <v>17266556.8</v>
      </c>
      <c r="G13" s="69" t="n">
        <v>16028150.05</v>
      </c>
      <c r="H13" s="69" t="n">
        <v>14789743.3</v>
      </c>
      <c r="I13" s="69" t="n">
        <v>13551336.55</v>
      </c>
      <c r="J13" s="69" t="n">
        <v>12312929.8</v>
      </c>
    </row>
    <row r="14" customFormat="false" ht="15" hidden="false" customHeight="true" outlineLevel="0" collapsed="false">
      <c r="A14" s="19" t="s">
        <v>601</v>
      </c>
      <c r="B14" s="69" t="n">
        <v>24215528.1</v>
      </c>
      <c r="C14" s="70" t="n">
        <v>22977121.35</v>
      </c>
      <c r="D14" s="69" t="n">
        <v>21738714.6</v>
      </c>
      <c r="E14" s="69" t="n">
        <v>20500307.85</v>
      </c>
      <c r="F14" s="69" t="n">
        <v>19261901.1</v>
      </c>
      <c r="G14" s="69" t="n">
        <v>18023494.35</v>
      </c>
      <c r="H14" s="69" t="n">
        <v>16785087.6</v>
      </c>
      <c r="I14" s="69" t="n">
        <v>15546680.85</v>
      </c>
      <c r="J14" s="69" t="n">
        <v>14308274.1</v>
      </c>
    </row>
    <row r="15" customFormat="false" ht="15" hidden="false" customHeight="true" outlineLevel="0" collapsed="false">
      <c r="A15" s="19" t="s">
        <v>602</v>
      </c>
      <c r="B15" s="69" t="n">
        <v>26210872.4</v>
      </c>
      <c r="C15" s="69" t="n">
        <v>24972465.65</v>
      </c>
      <c r="D15" s="70" t="n">
        <v>23734058.9</v>
      </c>
      <c r="E15" s="70" t="n">
        <v>22495652.15</v>
      </c>
      <c r="F15" s="69" t="n">
        <v>21257245.4</v>
      </c>
      <c r="G15" s="69" t="n">
        <v>20018838.65</v>
      </c>
      <c r="H15" s="69" t="n">
        <v>18780431.9</v>
      </c>
      <c r="I15" s="69" t="n">
        <v>17542025.15</v>
      </c>
      <c r="J15" s="69" t="n">
        <v>16303618.4</v>
      </c>
    </row>
    <row r="18" customFormat="false" ht="18" hidden="false" customHeight="true" outlineLevel="0" collapsed="false">
      <c r="A18" s="4" t="s">
        <v>603</v>
      </c>
      <c r="B18" s="5"/>
      <c r="C18" s="5"/>
      <c r="D18" s="5"/>
      <c r="E18" s="5"/>
      <c r="F18" s="5"/>
      <c r="G18" s="5"/>
      <c r="H18" s="5"/>
      <c r="I18" s="5"/>
      <c r="J18" s="5"/>
    </row>
    <row r="19" customFormat="false" ht="15" hidden="false" customHeight="true" outlineLevel="0" collapsed="false">
      <c r="B19" s="23" t="s">
        <v>604</v>
      </c>
      <c r="C19" s="23" t="s">
        <v>605</v>
      </c>
      <c r="D19" s="23" t="s">
        <v>606</v>
      </c>
      <c r="E19" s="23" t="s">
        <v>607</v>
      </c>
      <c r="F19" s="23" t="s">
        <v>608</v>
      </c>
      <c r="G19" s="23" t="s">
        <v>609</v>
      </c>
    </row>
    <row r="20" customFormat="false" ht="15" hidden="false" customHeight="true" outlineLevel="0" collapsed="false">
      <c r="A20" s="23" t="s">
        <v>593</v>
      </c>
    </row>
    <row r="21" customFormat="false" ht="15" hidden="false" customHeight="true" outlineLevel="0" collapsed="false">
      <c r="A21" s="19" t="s">
        <v>594</v>
      </c>
      <c r="B21" s="71" t="n">
        <v>40056787.2</v>
      </c>
      <c r="C21" s="71" t="n">
        <v>41444852.8</v>
      </c>
      <c r="D21" s="71" t="n">
        <v>42138885.6</v>
      </c>
      <c r="E21" s="71" t="n">
        <v>42832918.4</v>
      </c>
      <c r="F21" s="71" t="n">
        <v>43526951.2</v>
      </c>
      <c r="G21" s="71" t="n">
        <v>44220984</v>
      </c>
    </row>
    <row r="22" customFormat="false" ht="15" hidden="false" customHeight="true" outlineLevel="0" collapsed="false">
      <c r="A22" s="19" t="s">
        <v>595</v>
      </c>
      <c r="B22" s="71" t="n">
        <v>41722465.92</v>
      </c>
      <c r="C22" s="71" t="n">
        <v>43249338.08</v>
      </c>
      <c r="D22" s="71" t="n">
        <v>44012774.16</v>
      </c>
      <c r="E22" s="71" t="n">
        <v>44776210.24</v>
      </c>
      <c r="F22" s="71" t="n">
        <v>45539646.32</v>
      </c>
      <c r="G22" s="71" t="n">
        <v>46303082.4</v>
      </c>
    </row>
    <row r="23" customFormat="false" ht="15" hidden="false" customHeight="true" outlineLevel="0" collapsed="false">
      <c r="A23" s="19" t="s">
        <v>596</v>
      </c>
      <c r="B23" s="71" t="n">
        <v>43388144.64</v>
      </c>
      <c r="C23" s="71" t="n">
        <v>45053823.36</v>
      </c>
      <c r="D23" s="71" t="n">
        <v>45886662.72</v>
      </c>
      <c r="E23" s="71" t="n">
        <v>46719502.08</v>
      </c>
      <c r="F23" s="71" t="n">
        <v>47552341.44</v>
      </c>
      <c r="G23" s="71" t="n">
        <v>48385180.8</v>
      </c>
    </row>
    <row r="24" customFormat="false" ht="15" hidden="false" customHeight="true" outlineLevel="0" collapsed="false">
      <c r="A24" s="19" t="s">
        <v>597</v>
      </c>
      <c r="B24" s="71" t="n">
        <v>45053823.36</v>
      </c>
      <c r="C24" s="71" t="n">
        <v>46858308.64</v>
      </c>
      <c r="D24" s="71" t="n">
        <v>47760551.28</v>
      </c>
      <c r="E24" s="71" t="n">
        <v>48662793.92</v>
      </c>
      <c r="F24" s="71" t="n">
        <v>49565036.56</v>
      </c>
      <c r="G24" s="71" t="n">
        <v>50467279.2</v>
      </c>
    </row>
    <row r="25" customFormat="false" ht="15" hidden="false" customHeight="true" outlineLevel="0" collapsed="false">
      <c r="A25" s="19" t="s">
        <v>598</v>
      </c>
      <c r="B25" s="71" t="n">
        <v>46719502.08</v>
      </c>
      <c r="C25" s="71" t="n">
        <v>48662793.92</v>
      </c>
      <c r="D25" s="71" t="n">
        <v>49634439.84</v>
      </c>
      <c r="E25" s="71" t="n">
        <v>50606085.76</v>
      </c>
      <c r="F25" s="71" t="n">
        <v>51577731.68</v>
      </c>
      <c r="G25" s="72" t="n">
        <v>52549377.6</v>
      </c>
    </row>
    <row r="26" customFormat="false" ht="15" hidden="false" customHeight="true" outlineLevel="0" collapsed="false">
      <c r="A26" s="19" t="s">
        <v>599</v>
      </c>
      <c r="B26" s="71" t="n">
        <v>48385180.8</v>
      </c>
      <c r="C26" s="71" t="n">
        <v>50467279.2</v>
      </c>
      <c r="D26" s="71" t="n">
        <v>51508328.4</v>
      </c>
      <c r="E26" s="71" t="n">
        <v>52549377.6</v>
      </c>
      <c r="F26" s="71" t="n">
        <v>53590426.8</v>
      </c>
      <c r="G26" s="71" t="n">
        <v>54631476</v>
      </c>
    </row>
    <row r="27" customFormat="false" ht="15" hidden="false" customHeight="true" outlineLevel="0" collapsed="false">
      <c r="A27" s="19" t="s">
        <v>600</v>
      </c>
      <c r="B27" s="71" t="n">
        <v>50050859.52</v>
      </c>
      <c r="C27" s="71" t="n">
        <v>52271764.48</v>
      </c>
      <c r="D27" s="71" t="n">
        <v>53382216.96</v>
      </c>
      <c r="E27" s="71" t="n">
        <v>54492669.44</v>
      </c>
      <c r="F27" s="71" t="n">
        <v>55603121.92</v>
      </c>
      <c r="G27" s="71" t="n">
        <v>56713574.4</v>
      </c>
    </row>
    <row r="28" customFormat="false" ht="15" hidden="false" customHeight="true" outlineLevel="0" collapsed="false">
      <c r="A28" s="19" t="s">
        <v>601</v>
      </c>
      <c r="B28" s="71" t="n">
        <v>51716538.24</v>
      </c>
      <c r="C28" s="71" t="n">
        <v>54076249.76</v>
      </c>
      <c r="D28" s="71" t="n">
        <v>55256105.52</v>
      </c>
      <c r="E28" s="71" t="n">
        <v>56435961.28</v>
      </c>
      <c r="F28" s="71" t="n">
        <v>57615817.04</v>
      </c>
      <c r="G28" s="71" t="n">
        <v>58795672.8</v>
      </c>
    </row>
    <row r="29" customFormat="false" ht="15" hidden="false" customHeight="true" outlineLevel="0" collapsed="false">
      <c r="A29" s="19" t="s">
        <v>602</v>
      </c>
      <c r="B29" s="71" t="n">
        <v>53382216.96</v>
      </c>
      <c r="C29" s="71" t="n">
        <v>55880735.04</v>
      </c>
      <c r="D29" s="71" t="n">
        <v>57129994.08</v>
      </c>
      <c r="E29" s="71" t="n">
        <v>58379253.12</v>
      </c>
      <c r="F29" s="71" t="n">
        <v>59628512.16</v>
      </c>
      <c r="G29" s="71" t="n">
        <v>60877771.2</v>
      </c>
    </row>
    <row r="31" customFormat="false" ht="15" hidden="false" customHeight="true" outlineLevel="0" collapsed="false">
      <c r="A31" s="40" t="s">
        <v>610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55"/>
    <col collapsed="false" customWidth="true" hidden="false" outlineLevel="0" max="3" min="3" style="1" width="6"/>
    <col collapsed="false" customWidth="true" hidden="false" outlineLevel="0" max="5" min="4" style="1" width="40"/>
  </cols>
  <sheetData>
    <row r="1" customFormat="false" ht="27.75" hidden="false" customHeight="true" outlineLevel="0" collapsed="false">
      <c r="A1" s="17" t="s">
        <v>611</v>
      </c>
      <c r="B1" s="17"/>
      <c r="C1" s="17"/>
      <c r="D1" s="17"/>
      <c r="E1" s="17"/>
      <c r="F1" s="17"/>
    </row>
    <row r="2" customFormat="false" ht="27.75" hidden="false" customHeight="true" outlineLevel="0" collapsed="false">
      <c r="A2" s="18" t="s">
        <v>612</v>
      </c>
      <c r="B2" s="18"/>
      <c r="C2" s="18"/>
      <c r="D2" s="18"/>
      <c r="E2" s="18"/>
      <c r="F2" s="18"/>
    </row>
    <row r="4" customFormat="false" ht="18" hidden="false" customHeight="true" outlineLevel="0" collapsed="false">
      <c r="A4" s="4" t="s">
        <v>613</v>
      </c>
      <c r="B4" s="5"/>
      <c r="C4" s="5"/>
      <c r="D4" s="5"/>
      <c r="E4" s="5"/>
    </row>
    <row r="5" customFormat="false" ht="15" hidden="false" customHeight="true" outlineLevel="0" collapsed="false">
      <c r="A5" s="64" t="s">
        <v>614</v>
      </c>
      <c r="B5" s="19" t="s">
        <v>615</v>
      </c>
    </row>
    <row r="6" customFormat="false" ht="15" hidden="false" customHeight="true" outlineLevel="0" collapsed="false">
      <c r="A6" s="64" t="s">
        <v>616</v>
      </c>
      <c r="B6" s="19" t="s">
        <v>617</v>
      </c>
    </row>
    <row r="7" customFormat="false" ht="15" hidden="false" customHeight="true" outlineLevel="0" collapsed="false">
      <c r="A7" s="64" t="s">
        <v>618</v>
      </c>
      <c r="B7" s="19" t="s">
        <v>619</v>
      </c>
    </row>
    <row r="8" customFormat="false" ht="15" hidden="false" customHeight="true" outlineLevel="0" collapsed="false">
      <c r="A8" s="64" t="s">
        <v>620</v>
      </c>
      <c r="B8" s="19" t="s">
        <v>621</v>
      </c>
    </row>
    <row r="9" customFormat="false" ht="15" hidden="false" customHeight="true" outlineLevel="0" collapsed="false">
      <c r="A9" s="64" t="s">
        <v>622</v>
      </c>
      <c r="B9" s="19" t="s">
        <v>623</v>
      </c>
    </row>
    <row r="10" customFormat="false" ht="15" hidden="false" customHeight="true" outlineLevel="0" collapsed="false">
      <c r="A10" s="64" t="s">
        <v>624</v>
      </c>
      <c r="B10" s="19" t="s">
        <v>625</v>
      </c>
    </row>
    <row r="12" customFormat="false" ht="18" hidden="false" customHeight="true" outlineLevel="0" collapsed="false">
      <c r="A12" s="4" t="s">
        <v>27</v>
      </c>
      <c r="B12" s="5"/>
      <c r="C12" s="5"/>
      <c r="D12" s="5"/>
      <c r="E12" s="5"/>
    </row>
    <row r="13" customFormat="false" ht="15" hidden="false" customHeight="true" outlineLevel="0" collapsed="false">
      <c r="A13" s="8" t="s">
        <v>28</v>
      </c>
      <c r="B13" s="19" t="s">
        <v>626</v>
      </c>
    </row>
    <row r="14" customFormat="false" ht="15" hidden="false" customHeight="true" outlineLevel="0" collapsed="false">
      <c r="A14" s="8" t="s">
        <v>30</v>
      </c>
      <c r="B14" s="19" t="s">
        <v>627</v>
      </c>
    </row>
    <row r="15" customFormat="false" ht="15" hidden="false" customHeight="true" outlineLevel="0" collapsed="false">
      <c r="A15" s="8" t="s">
        <v>42</v>
      </c>
      <c r="B15" s="19" t="s">
        <v>628</v>
      </c>
    </row>
    <row r="16" customFormat="false" ht="15" hidden="false" customHeight="true" outlineLevel="0" collapsed="false">
      <c r="A16" s="8" t="s">
        <v>44</v>
      </c>
      <c r="B16" s="19" t="s">
        <v>629</v>
      </c>
    </row>
    <row r="17" customFormat="false" ht="15" hidden="false" customHeight="true" outlineLevel="0" collapsed="false">
      <c r="A17" s="8" t="s">
        <v>46</v>
      </c>
      <c r="B17" s="19" t="s">
        <v>630</v>
      </c>
    </row>
    <row r="18" customFormat="false" ht="15" hidden="false" customHeight="true" outlineLevel="0" collapsed="false">
      <c r="A18" s="8" t="s">
        <v>48</v>
      </c>
      <c r="B18" s="19" t="s">
        <v>631</v>
      </c>
    </row>
    <row r="19" customFormat="false" ht="15" hidden="false" customHeight="true" outlineLevel="0" collapsed="false">
      <c r="A19" s="8" t="s">
        <v>50</v>
      </c>
      <c r="B19" s="19" t="s">
        <v>632</v>
      </c>
    </row>
    <row r="20" customFormat="false" ht="15" hidden="false" customHeight="true" outlineLevel="0" collapsed="false">
      <c r="A20" s="8" t="s">
        <v>52</v>
      </c>
      <c r="B20" s="19" t="s">
        <v>633</v>
      </c>
    </row>
    <row r="21" customFormat="false" ht="15" hidden="false" customHeight="true" outlineLevel="0" collapsed="false">
      <c r="A21" s="8" t="s">
        <v>56</v>
      </c>
      <c r="B21" s="19" t="s">
        <v>634</v>
      </c>
    </row>
    <row r="22" customFormat="false" ht="15" hidden="false" customHeight="true" outlineLevel="0" collapsed="false">
      <c r="A22" s="8" t="s">
        <v>54</v>
      </c>
      <c r="B22" s="19" t="s">
        <v>635</v>
      </c>
    </row>
    <row r="23" customFormat="false" ht="15" hidden="false" customHeight="true" outlineLevel="0" collapsed="false">
      <c r="A23" s="8" t="s">
        <v>58</v>
      </c>
      <c r="B23" s="19" t="s">
        <v>636</v>
      </c>
    </row>
    <row r="25" customFormat="false" ht="18" hidden="false" customHeight="true" outlineLevel="0" collapsed="false">
      <c r="A25" s="4" t="s">
        <v>637</v>
      </c>
      <c r="B25" s="5"/>
      <c r="C25" s="5"/>
      <c r="D25" s="5"/>
      <c r="E25" s="5"/>
    </row>
    <row r="26" customFormat="false" ht="19.5" hidden="false" customHeight="true" outlineLevel="0" collapsed="false">
      <c r="A26" s="73" t="s">
        <v>638</v>
      </c>
      <c r="B26" s="74" t="s">
        <v>639</v>
      </c>
    </row>
    <row r="27" customFormat="false" ht="19.5" hidden="false" customHeight="true" outlineLevel="0" collapsed="false">
      <c r="A27" s="73" t="s">
        <v>638</v>
      </c>
      <c r="B27" s="74" t="s">
        <v>640</v>
      </c>
    </row>
    <row r="28" customFormat="false" ht="19.5" hidden="false" customHeight="true" outlineLevel="0" collapsed="false">
      <c r="A28" s="73" t="s">
        <v>638</v>
      </c>
      <c r="B28" s="74" t="s">
        <v>641</v>
      </c>
    </row>
    <row r="29" customFormat="false" ht="19.5" hidden="false" customHeight="true" outlineLevel="0" collapsed="false">
      <c r="A29" s="73" t="s">
        <v>638</v>
      </c>
      <c r="B29" s="74" t="s">
        <v>642</v>
      </c>
    </row>
    <row r="30" customFormat="false" ht="19.5" hidden="false" customHeight="true" outlineLevel="0" collapsed="false">
      <c r="A30" s="73" t="s">
        <v>638</v>
      </c>
      <c r="B30" s="74" t="s">
        <v>643</v>
      </c>
    </row>
    <row r="31" customFormat="false" ht="19.5" hidden="false" customHeight="true" outlineLevel="0" collapsed="false">
      <c r="A31" s="73" t="s">
        <v>638</v>
      </c>
      <c r="B31" s="74" t="s">
        <v>644</v>
      </c>
    </row>
    <row r="32" customFormat="false" ht="19.5" hidden="false" customHeight="true" outlineLevel="0" collapsed="false">
      <c r="A32" s="73" t="s">
        <v>645</v>
      </c>
      <c r="B32" s="74" t="s">
        <v>646</v>
      </c>
    </row>
    <row r="33" customFormat="false" ht="19.5" hidden="false" customHeight="true" outlineLevel="0" collapsed="false">
      <c r="A33" s="73" t="s">
        <v>645</v>
      </c>
      <c r="B33" s="74" t="s">
        <v>647</v>
      </c>
    </row>
    <row r="34" customFormat="false" ht="19.5" hidden="false" customHeight="true" outlineLevel="0" collapsed="false">
      <c r="A34" s="73" t="s">
        <v>645</v>
      </c>
      <c r="B34" s="74" t="s">
        <v>648</v>
      </c>
    </row>
    <row r="35" customFormat="false" ht="19.5" hidden="false" customHeight="true" outlineLevel="0" collapsed="false">
      <c r="A35" s="73" t="s">
        <v>645</v>
      </c>
      <c r="B35" s="74" t="s">
        <v>649</v>
      </c>
    </row>
    <row r="36" customFormat="false" ht="19.5" hidden="false" customHeight="true" outlineLevel="0" collapsed="false">
      <c r="A36" s="73" t="s">
        <v>645</v>
      </c>
      <c r="B36" s="74" t="s">
        <v>650</v>
      </c>
    </row>
    <row r="37" customFormat="false" ht="19.5" hidden="false" customHeight="true" outlineLevel="0" collapsed="false">
      <c r="A37" s="73" t="s">
        <v>651</v>
      </c>
      <c r="B37" s="74" t="s">
        <v>652</v>
      </c>
    </row>
    <row r="38" customFormat="false" ht="19.5" hidden="false" customHeight="true" outlineLevel="0" collapsed="false">
      <c r="A38" s="73" t="s">
        <v>651</v>
      </c>
      <c r="B38" s="74" t="s">
        <v>653</v>
      </c>
    </row>
    <row r="39" customFormat="false" ht="19.5" hidden="false" customHeight="true" outlineLevel="0" collapsed="false">
      <c r="A39" s="73" t="s">
        <v>651</v>
      </c>
      <c r="B39" s="74" t="s">
        <v>654</v>
      </c>
    </row>
    <row r="40" customFormat="false" ht="19.5" hidden="false" customHeight="true" outlineLevel="0" collapsed="false">
      <c r="A40" s="73" t="s">
        <v>651</v>
      </c>
      <c r="B40" s="74" t="s">
        <v>655</v>
      </c>
    </row>
    <row r="41" customFormat="false" ht="19.5" hidden="false" customHeight="true" outlineLevel="0" collapsed="false">
      <c r="A41" s="73" t="s">
        <v>656</v>
      </c>
      <c r="B41" s="74" t="s">
        <v>657</v>
      </c>
    </row>
    <row r="42" customFormat="false" ht="19.5" hidden="false" customHeight="true" outlineLevel="0" collapsed="false">
      <c r="A42" s="73" t="s">
        <v>656</v>
      </c>
      <c r="B42" s="74" t="s">
        <v>658</v>
      </c>
    </row>
    <row r="43" customFormat="false" ht="19.5" hidden="false" customHeight="true" outlineLevel="0" collapsed="false">
      <c r="A43" s="73" t="s">
        <v>656</v>
      </c>
      <c r="B43" s="74" t="s">
        <v>659</v>
      </c>
    </row>
    <row r="44" customFormat="false" ht="19.5" hidden="false" customHeight="true" outlineLevel="0" collapsed="false">
      <c r="A44" s="73" t="s">
        <v>656</v>
      </c>
      <c r="B44" s="74" t="s">
        <v>660</v>
      </c>
    </row>
    <row r="45" customFormat="false" ht="19.5" hidden="false" customHeight="true" outlineLevel="0" collapsed="false">
      <c r="A45" s="73" t="s">
        <v>656</v>
      </c>
      <c r="B45" s="74" t="s">
        <v>661</v>
      </c>
    </row>
    <row r="46" customFormat="false" ht="19.5" hidden="false" customHeight="true" outlineLevel="0" collapsed="false">
      <c r="A46" s="73" t="s">
        <v>662</v>
      </c>
      <c r="B46" s="74" t="s">
        <v>663</v>
      </c>
    </row>
    <row r="47" customFormat="false" ht="19.5" hidden="false" customHeight="true" outlineLevel="0" collapsed="false">
      <c r="A47" s="73" t="s">
        <v>662</v>
      </c>
      <c r="B47" s="74" t="s">
        <v>664</v>
      </c>
    </row>
    <row r="48" customFormat="false" ht="19.5" hidden="false" customHeight="true" outlineLevel="0" collapsed="false">
      <c r="A48" s="73" t="s">
        <v>662</v>
      </c>
      <c r="B48" s="74" t="s">
        <v>665</v>
      </c>
    </row>
    <row r="49" customFormat="false" ht="19.5" hidden="false" customHeight="true" outlineLevel="0" collapsed="false">
      <c r="A49" s="73" t="s">
        <v>662</v>
      </c>
      <c r="B49" s="74" t="s">
        <v>666</v>
      </c>
    </row>
    <row r="50" customFormat="false" ht="19.5" hidden="false" customHeight="true" outlineLevel="0" collapsed="false">
      <c r="A50" s="73" t="s">
        <v>662</v>
      </c>
      <c r="B50" s="74" t="s">
        <v>667</v>
      </c>
    </row>
    <row r="51" customFormat="false" ht="19.5" hidden="false" customHeight="true" outlineLevel="0" collapsed="false">
      <c r="A51" s="73" t="s">
        <v>668</v>
      </c>
      <c r="B51" s="74" t="s">
        <v>669</v>
      </c>
    </row>
    <row r="52" customFormat="false" ht="19.5" hidden="false" customHeight="true" outlineLevel="0" collapsed="false">
      <c r="A52" s="73" t="s">
        <v>668</v>
      </c>
      <c r="B52" s="74" t="s">
        <v>670</v>
      </c>
    </row>
    <row r="53" customFormat="false" ht="19.5" hidden="false" customHeight="true" outlineLevel="0" collapsed="false">
      <c r="A53" s="73" t="s">
        <v>668</v>
      </c>
      <c r="B53" s="74" t="s">
        <v>671</v>
      </c>
    </row>
    <row r="54" customFormat="false" ht="19.5" hidden="false" customHeight="true" outlineLevel="0" collapsed="false">
      <c r="A54" s="73" t="s">
        <v>672</v>
      </c>
      <c r="B54" s="74" t="s">
        <v>673</v>
      </c>
    </row>
    <row r="55" customFormat="false" ht="19.5" hidden="false" customHeight="true" outlineLevel="0" collapsed="false">
      <c r="A55" s="73" t="s">
        <v>672</v>
      </c>
      <c r="B55" s="74" t="s">
        <v>674</v>
      </c>
    </row>
    <row r="56" customFormat="false" ht="19.5" hidden="false" customHeight="true" outlineLevel="0" collapsed="false">
      <c r="A56" s="73" t="s">
        <v>672</v>
      </c>
      <c r="B56" s="74" t="s">
        <v>675</v>
      </c>
    </row>
    <row r="57" customFormat="false" ht="19.5" hidden="false" customHeight="true" outlineLevel="0" collapsed="false">
      <c r="A57" s="73" t="s">
        <v>676</v>
      </c>
      <c r="B57" s="74" t="s">
        <v>677</v>
      </c>
    </row>
    <row r="58" customFormat="false" ht="19.5" hidden="false" customHeight="true" outlineLevel="0" collapsed="false">
      <c r="A58" s="73" t="s">
        <v>676</v>
      </c>
      <c r="B58" s="74" t="s">
        <v>678</v>
      </c>
    </row>
    <row r="59" customFormat="false" ht="19.5" hidden="false" customHeight="true" outlineLevel="0" collapsed="false">
      <c r="A59" s="73" t="s">
        <v>676</v>
      </c>
      <c r="B59" s="74" t="s">
        <v>679</v>
      </c>
    </row>
    <row r="60" customFormat="false" ht="19.5" hidden="false" customHeight="true" outlineLevel="0" collapsed="false">
      <c r="A60" s="73" t="s">
        <v>676</v>
      </c>
      <c r="B60" s="74" t="s">
        <v>680</v>
      </c>
    </row>
    <row r="61" customFormat="false" ht="19.5" hidden="false" customHeight="true" outlineLevel="0" collapsed="false">
      <c r="A61" s="73" t="s">
        <v>681</v>
      </c>
      <c r="B61" s="74" t="s">
        <v>682</v>
      </c>
    </row>
    <row r="62" customFormat="false" ht="19.5" hidden="false" customHeight="true" outlineLevel="0" collapsed="false">
      <c r="A62" s="73" t="s">
        <v>681</v>
      </c>
      <c r="B62" s="74" t="s">
        <v>683</v>
      </c>
    </row>
    <row r="63" customFormat="false" ht="19.5" hidden="false" customHeight="true" outlineLevel="0" collapsed="false">
      <c r="A63" s="73" t="s">
        <v>681</v>
      </c>
      <c r="B63" s="74" t="s">
        <v>684</v>
      </c>
    </row>
    <row r="64" customFormat="false" ht="19.5" hidden="false" customHeight="true" outlineLevel="0" collapsed="false">
      <c r="A64" s="73" t="s">
        <v>681</v>
      </c>
      <c r="B64" s="74" t="s">
        <v>685</v>
      </c>
    </row>
    <row r="65" customFormat="false" ht="19.5" hidden="false" customHeight="true" outlineLevel="0" collapsed="false">
      <c r="A65" s="73" t="s">
        <v>681</v>
      </c>
      <c r="B65" s="74" t="s">
        <v>686</v>
      </c>
    </row>
    <row r="66" customFormat="false" ht="19.5" hidden="false" customHeight="true" outlineLevel="0" collapsed="false">
      <c r="A66" s="73" t="s">
        <v>687</v>
      </c>
      <c r="B66" s="74" t="s">
        <v>688</v>
      </c>
    </row>
    <row r="67" customFormat="false" ht="19.5" hidden="false" customHeight="true" outlineLevel="0" collapsed="false">
      <c r="A67" s="73" t="s">
        <v>687</v>
      </c>
      <c r="B67" s="74" t="s">
        <v>689</v>
      </c>
    </row>
    <row r="68" customFormat="false" ht="19.5" hidden="false" customHeight="true" outlineLevel="0" collapsed="false">
      <c r="A68" s="73" t="s">
        <v>687</v>
      </c>
      <c r="B68" s="74" t="s">
        <v>690</v>
      </c>
    </row>
    <row r="70" customFormat="false" ht="27.75" hidden="false" customHeight="true" outlineLevel="0" collapsed="false">
      <c r="A70" s="75" t="s">
        <v>691</v>
      </c>
      <c r="B70" s="75"/>
      <c r="C70" s="75"/>
      <c r="D70" s="75"/>
      <c r="E70" s="75"/>
    </row>
  </sheetData>
  <mergeCells count="3">
    <mergeCell ref="A1:F1"/>
    <mergeCell ref="A2:F2"/>
    <mergeCell ref="A70:E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2026-04-14T00:52:35Z</dcterms:created>
  <dc:creator>openpyxl</dc:creator>
  <dc:description/>
  <dc:language>en-US</dc:language>
  <cp:lastModifiedBy/>
  <dcterms:modified xsi:type="dcterms:W3CDTF">2026-04-14T01:03:22Z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