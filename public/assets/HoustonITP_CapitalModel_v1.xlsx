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ev Budget" sheetId="3" state="visible" r:id="rId3"/>
    <sheet xmlns:r="http://schemas.openxmlformats.org/officeDocument/2006/relationships" name="Capital Stack" sheetId="4" state="visible" r:id="rId4"/>
    <sheet xmlns:r="http://schemas.openxmlformats.org/officeDocument/2006/relationships" name="Pro Forma" sheetId="5" state="visible" r:id="rId5"/>
    <sheet xmlns:r="http://schemas.openxmlformats.org/officeDocument/2006/relationships" name="JV Waterfall" sheetId="6" state="visible" r:id="rId6"/>
    <sheet xmlns:r="http://schemas.openxmlformats.org/officeDocument/2006/relationships" name="Cap Events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User Instru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color rgb="00000000"/>
    </font>
    <font>
      <color rgb="000000FF"/>
    </font>
    <font>
      <color rgb="00008000"/>
    </font>
    <font>
      <i val="1"/>
      <color rgb="00999999"/>
    </font>
  </fonts>
  <fills count="4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INTERNATIONAL FREIGHT PARK HOUSTON — CAPITAL MODEL</t>
        </is>
      </c>
    </row>
    <row r="3">
      <c r="A3" s="2" t="inlineStr">
        <is>
          <t>Project:</t>
        </is>
      </c>
      <c r="B3" s="3" t="inlineStr">
        <is>
          <t>International Freight Park Houston (ITPH)</t>
        </is>
      </c>
    </row>
    <row r="4">
      <c r="A4" s="2" t="inlineStr">
        <is>
          <t>Location:</t>
        </is>
      </c>
      <c r="B4" s="3" t="inlineStr">
        <is>
          <t>12000 Bissonnet St., Alief, TX 77099</t>
        </is>
      </c>
    </row>
    <row r="5">
      <c r="A5" s="2" t="inlineStr">
        <is>
          <t>File:</t>
        </is>
      </c>
      <c r="B5" s="3" t="inlineStr">
        <is>
          <t>HoustonITP_CapitalModel_v1.xlsx</t>
        </is>
      </c>
    </row>
    <row r="6">
      <c r="A6" s="2" t="inlineStr">
        <is>
          <t>Version:</t>
        </is>
      </c>
      <c r="B6" s="3" t="inlineStr">
        <is>
          <t>1.0 — April 14, 2026</t>
        </is>
      </c>
    </row>
    <row r="8">
      <c r="A8" s="2" t="inlineStr">
        <is>
          <t>TAB NAVIGATION</t>
        </is>
      </c>
    </row>
    <row r="9">
      <c r="A9" s="3" t="inlineStr">
        <is>
          <t>Cover</t>
        </is>
      </c>
      <c r="B9" s="3" t="inlineStr">
        <is>
          <t>Tab 1</t>
        </is>
      </c>
    </row>
    <row r="10">
      <c r="A10" s="3" t="inlineStr">
        <is>
          <t>Assumptions</t>
        </is>
      </c>
      <c r="B10" s="3" t="inlineStr">
        <is>
          <t>Tab 2</t>
        </is>
      </c>
    </row>
    <row r="11">
      <c r="A11" s="3" t="inlineStr">
        <is>
          <t>Dev Budget</t>
        </is>
      </c>
      <c r="B11" s="3" t="inlineStr">
        <is>
          <t>Tab 3</t>
        </is>
      </c>
    </row>
    <row r="12">
      <c r="A12" s="3" t="inlineStr">
        <is>
          <t>Capital Stack</t>
        </is>
      </c>
      <c r="B12" s="3" t="inlineStr">
        <is>
          <t>Tab 4</t>
        </is>
      </c>
    </row>
    <row r="13">
      <c r="A13" s="3" t="inlineStr">
        <is>
          <t>Pro Forma</t>
        </is>
      </c>
      <c r="B13" s="3" t="inlineStr">
        <is>
          <t>Tab 5</t>
        </is>
      </c>
    </row>
    <row r="14">
      <c r="A14" s="3" t="inlineStr">
        <is>
          <t>JV Waterfall</t>
        </is>
      </c>
      <c r="B14" s="3" t="inlineStr">
        <is>
          <t>Tab 6</t>
        </is>
      </c>
    </row>
    <row r="15">
      <c r="A15" s="3" t="inlineStr">
        <is>
          <t>Cap Events</t>
        </is>
      </c>
      <c r="B15" s="3" t="inlineStr">
        <is>
          <t>Tab 7</t>
        </is>
      </c>
    </row>
    <row r="16">
      <c r="A16" s="3" t="inlineStr">
        <is>
          <t>Balance Sheet</t>
        </is>
      </c>
      <c r="B16" s="3" t="inlineStr">
        <is>
          <t>Tab 8</t>
        </is>
      </c>
    </row>
    <row r="17">
      <c r="A17" s="3" t="inlineStr">
        <is>
          <t>Sensitivity</t>
        </is>
      </c>
      <c r="B17" s="3" t="inlineStr">
        <is>
          <t>Tab 9</t>
        </is>
      </c>
    </row>
    <row r="18">
      <c r="A18" s="3" t="inlineStr">
        <is>
          <t>User Instructions</t>
        </is>
      </c>
      <c r="B18" s="3" t="inlineStr">
        <is>
          <t>Tab 10</t>
        </is>
      </c>
    </row>
    <row r="20">
      <c r="A20" s="2" t="inlineStr">
        <is>
          <t>COLOR LEGEND</t>
        </is>
      </c>
    </row>
    <row r="21">
      <c r="A21" s="4" t="inlineStr">
        <is>
          <t>Blue font</t>
        </is>
      </c>
      <c r="B21" s="3" t="inlineStr">
        <is>
          <t>User input / assumption</t>
        </is>
      </c>
    </row>
    <row r="22">
      <c r="A22" s="3" t="inlineStr">
        <is>
          <t>Black font</t>
        </is>
      </c>
      <c r="B22" s="3" t="inlineStr">
        <is>
          <t>Calculated / formula</t>
        </is>
      </c>
    </row>
    <row r="23">
      <c r="A23" s="5" t="inlineStr">
        <is>
          <t>Green font</t>
        </is>
      </c>
      <c r="B23" s="3" t="inlineStr">
        <is>
          <t>Cross-tab link</t>
        </is>
      </c>
    </row>
    <row r="25">
      <c r="A25" s="6" t="inlineStr">
        <is>
          <t>PLUSAdvantage™ 2026 — CONFIDENTIAL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</cols>
  <sheetData>
    <row r="1">
      <c r="A1" s="1" t="inlineStr">
        <is>
          <t>ASSUMPTIONS — ALL INPUTS</t>
        </is>
      </c>
    </row>
    <row r="3">
      <c r="A3" s="2" t="inlineStr">
        <is>
          <t>PROPERTY</t>
        </is>
      </c>
    </row>
    <row r="4">
      <c r="A4" s="3" t="inlineStr">
        <is>
          <t>Total Acreage</t>
        </is>
      </c>
      <c r="B4" s="7" t="inlineStr">
        <is>
          <t>TBD</t>
        </is>
      </c>
    </row>
    <row r="5">
      <c r="A5" s="3" t="inlineStr">
        <is>
          <t>Number of Lots (est.)</t>
        </is>
      </c>
      <c r="B5" s="4" t="n">
        <v>20</v>
      </c>
    </row>
    <row r="6">
      <c r="A6" s="3" t="inlineStr">
        <is>
          <t>Average Lot Size (SF)</t>
        </is>
      </c>
      <c r="B6" s="4" t="n">
        <v>50000</v>
      </c>
    </row>
    <row r="7">
      <c r="A7" s="3" t="inlineStr">
        <is>
          <t>Average Lot Price</t>
        </is>
      </c>
      <c r="B7" s="8" t="n">
        <v>1500000</v>
      </c>
    </row>
    <row r="8">
      <c r="A8" s="2" t="inlineStr"/>
    </row>
    <row r="9">
      <c r="A9" s="2" t="inlineStr">
        <is>
          <t>ACQUISITION</t>
        </is>
      </c>
    </row>
    <row r="10">
      <c r="A10" s="3" t="inlineStr">
        <is>
          <t>Purchase Price</t>
        </is>
      </c>
      <c r="B10" s="8" t="n">
        <v>15000000</v>
      </c>
    </row>
    <row r="11">
      <c r="A11" s="3" t="inlineStr">
        <is>
          <t>Market Value (est.)</t>
        </is>
      </c>
      <c r="B11" s="8" t="n">
        <v>20000000</v>
      </c>
    </row>
    <row r="12">
      <c r="A12" s="3" t="inlineStr">
        <is>
          <t>Landfill Permit Value</t>
        </is>
      </c>
      <c r="B12" s="8" t="n">
        <v>3000000</v>
      </c>
    </row>
    <row r="13">
      <c r="A13" s="3" t="inlineStr">
        <is>
          <t>JV Partner Existing Equity</t>
        </is>
      </c>
      <c r="B13" s="7" t="inlineStr">
        <is>
          <t>TBD</t>
        </is>
      </c>
    </row>
    <row r="14">
      <c r="A14" s="2" t="inlineStr"/>
    </row>
    <row r="15">
      <c r="A15" s="2" t="inlineStr">
        <is>
          <t>DEVELOPMENT</t>
        </is>
      </c>
    </row>
    <row r="16">
      <c r="A16" s="3" t="inlineStr">
        <is>
          <t>Infrastructure Costs</t>
        </is>
      </c>
      <c r="B16" s="7" t="inlineStr">
        <is>
          <t>TBD</t>
        </is>
      </c>
    </row>
    <row r="17">
      <c r="A17" s="3" t="inlineStr">
        <is>
          <t>Offsite Improvements</t>
        </is>
      </c>
      <c r="B17" s="7" t="inlineStr">
        <is>
          <t>TBD</t>
        </is>
      </c>
    </row>
    <row r="18">
      <c r="A18" s="3" t="inlineStr">
        <is>
          <t>Soft Costs</t>
        </is>
      </c>
      <c r="B18" s="7" t="inlineStr">
        <is>
          <t>TBD</t>
        </is>
      </c>
    </row>
    <row r="19">
      <c r="A19" s="3" t="inlineStr">
        <is>
          <t>Developer Fee (%)</t>
        </is>
      </c>
      <c r="B19" s="9" t="n">
        <v>0.04</v>
      </c>
    </row>
    <row r="20">
      <c r="A20" s="3" t="inlineStr">
        <is>
          <t>Contingency (%)</t>
        </is>
      </c>
      <c r="B20" s="9" t="n">
        <v>0.05</v>
      </c>
    </row>
    <row r="21">
      <c r="A21" s="3" t="inlineStr">
        <is>
          <t>Total Project Cost (est.)</t>
        </is>
      </c>
      <c r="B21" s="8" t="n">
        <v>25000000</v>
      </c>
    </row>
    <row r="22">
      <c r="A22" s="2" t="inlineStr"/>
    </row>
    <row r="23">
      <c r="A23" s="2" t="inlineStr">
        <is>
          <t>FINANCING</t>
        </is>
      </c>
    </row>
    <row r="24">
      <c r="A24" s="3" t="inlineStr">
        <is>
          <t>Senior Loan Rate</t>
        </is>
      </c>
      <c r="B24" s="9" t="n">
        <v>0.1</v>
      </c>
    </row>
    <row r="25">
      <c r="A25" s="3" t="inlineStr">
        <is>
          <t>Mezzanine Rate</t>
        </is>
      </c>
      <c r="B25" s="9" t="n">
        <v>0.15</v>
      </c>
    </row>
    <row r="26">
      <c r="A26" s="3" t="inlineStr">
        <is>
          <t>LTC Ceiling</t>
        </is>
      </c>
      <c r="B26" s="9" t="n">
        <v>0.8</v>
      </c>
    </row>
    <row r="27">
      <c r="A27" s="3" t="inlineStr">
        <is>
          <t>LTV Ceiling</t>
        </is>
      </c>
      <c r="B27" s="9" t="n">
        <v>0.65</v>
      </c>
    </row>
    <row r="28">
      <c r="A28" s="3" t="inlineStr">
        <is>
          <t>Broker Fee (pts)</t>
        </is>
      </c>
      <c r="B28" s="9" t="n">
        <v>0.02</v>
      </c>
    </row>
    <row r="29">
      <c r="A29" s="3" t="inlineStr">
        <is>
          <t>Investor Fee (pts)</t>
        </is>
      </c>
      <c r="B29" s="9" t="n">
        <v>0.04</v>
      </c>
    </row>
    <row r="30">
      <c r="A30" s="3" t="inlineStr">
        <is>
          <t>Interest Reserve (months)</t>
        </is>
      </c>
      <c r="B30" s="4" t="n">
        <v>24</v>
      </c>
    </row>
    <row r="31">
      <c r="A31" s="2" t="inlineStr"/>
    </row>
    <row r="32">
      <c r="A32" s="2" t="inlineStr">
        <is>
          <t>REVENUE</t>
        </is>
      </c>
    </row>
    <row r="33">
      <c r="A33" s="3" t="inlineStr">
        <is>
          <t>Absorption Rate (lots/month)</t>
        </is>
      </c>
      <c r="B33" s="4" t="n">
        <v>2</v>
      </c>
    </row>
    <row r="34">
      <c r="A34" s="3" t="inlineStr">
        <is>
          <t>Lot Sale Price Range Low</t>
        </is>
      </c>
      <c r="B34" s="8" t="n">
        <v>1000000</v>
      </c>
    </row>
    <row r="35">
      <c r="A35" s="3" t="inlineStr">
        <is>
          <t>Lot Sale Price Range High</t>
        </is>
      </c>
      <c r="B35" s="8" t="n">
        <v>2000000</v>
      </c>
    </row>
    <row r="36">
      <c r="A36" s="2" t="inlineStr"/>
    </row>
    <row r="37">
      <c r="A37" s="2" t="inlineStr">
        <is>
          <t>JV TERMS</t>
        </is>
      </c>
    </row>
    <row r="38">
      <c r="A38" s="3" t="inlineStr">
        <is>
          <t>Preferred Return</t>
        </is>
      </c>
      <c r="B38" s="9" t="n">
        <v>0.08</v>
      </c>
    </row>
    <row r="39">
      <c r="A39" s="3" t="inlineStr">
        <is>
          <t>Profit Split — Developer</t>
        </is>
      </c>
      <c r="B39" s="9" t="n">
        <v>0.5</v>
      </c>
    </row>
    <row r="40">
      <c r="A40" s="3" t="inlineStr">
        <is>
          <t>Profit Split — JV Partner</t>
        </is>
      </c>
      <c r="B40" s="9" t="n">
        <v>0.5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</cols>
  <sheetData>
    <row r="1">
      <c r="A1" s="1" t="inlineStr">
        <is>
          <t>DEVELOPMENT BUDGET</t>
        </is>
      </c>
    </row>
    <row r="2">
      <c r="A2" s="2" t="inlineStr">
        <is>
          <t>Line Item</t>
        </is>
      </c>
      <c r="B2" s="2" t="inlineStr">
        <is>
          <t>Amount ($)</t>
        </is>
      </c>
      <c r="C2" s="2" t="inlineStr">
        <is>
          <t>% of Total</t>
        </is>
      </c>
    </row>
    <row r="3">
      <c r="A3" s="2" t="inlineStr">
        <is>
          <t>Land &amp; Acquisition</t>
        </is>
      </c>
    </row>
    <row r="4">
      <c r="A4" s="3" t="inlineStr">
        <is>
          <t>Purchase Price</t>
        </is>
      </c>
      <c r="B4" s="8" t="n">
        <v>15000000</v>
      </c>
    </row>
    <row r="5">
      <c r="A5" s="3" t="inlineStr">
        <is>
          <t>Landfill Permit Value</t>
        </is>
      </c>
      <c r="B5" s="8" t="n">
        <v>3000000</v>
      </c>
    </row>
    <row r="6">
      <c r="A6" s="3" t="inlineStr">
        <is>
          <t>JV Partner Buyout (est.)</t>
        </is>
      </c>
      <c r="B6" s="7" t="inlineStr">
        <is>
          <t>TBD</t>
        </is>
      </c>
    </row>
    <row r="7">
      <c r="A7" s="2" t="inlineStr"/>
    </row>
    <row r="8">
      <c r="A8" s="2" t="inlineStr">
        <is>
          <t>Horizontal Hard Costs</t>
        </is>
      </c>
    </row>
    <row r="9">
      <c r="A9" s="3" t="inlineStr">
        <is>
          <t>Infrastructure / Utilities</t>
        </is>
      </c>
      <c r="B9" s="7" t="inlineStr">
        <is>
          <t>TBD</t>
        </is>
      </c>
    </row>
    <row r="10">
      <c r="A10" s="3" t="inlineStr">
        <is>
          <t>Roads &amp; Grading</t>
        </is>
      </c>
      <c r="B10" s="7" t="inlineStr">
        <is>
          <t>TBD</t>
        </is>
      </c>
    </row>
    <row r="11">
      <c r="A11" s="3" t="inlineStr">
        <is>
          <t>Environmental Remediation</t>
        </is>
      </c>
      <c r="B11" s="7" t="inlineStr">
        <is>
          <t>TBD</t>
        </is>
      </c>
    </row>
    <row r="12">
      <c r="A12" s="2" t="inlineStr"/>
    </row>
    <row r="13">
      <c r="A13" s="2" t="inlineStr">
        <is>
          <t>Offsite Improvements</t>
        </is>
      </c>
    </row>
    <row r="14">
      <c r="A14" s="3" t="inlineStr">
        <is>
          <t>Roundabout</t>
        </is>
      </c>
      <c r="B14" s="7" t="inlineStr">
        <is>
          <t>TBD</t>
        </is>
      </c>
    </row>
    <row r="15">
      <c r="A15" s="3" t="inlineStr">
        <is>
          <t>Perimeter Trail / Bird Watch</t>
        </is>
      </c>
      <c r="B15" s="7" t="inlineStr">
        <is>
          <t>TBD</t>
        </is>
      </c>
    </row>
    <row r="16">
      <c r="A16" s="3" t="inlineStr">
        <is>
          <t>Public Improvements</t>
        </is>
      </c>
      <c r="B16" s="7" t="inlineStr">
        <is>
          <t>TBD</t>
        </is>
      </c>
    </row>
    <row r="17">
      <c r="A17" s="2" t="inlineStr"/>
    </row>
    <row r="18">
      <c r="A18" s="2" t="inlineStr">
        <is>
          <t>Soft Costs</t>
        </is>
      </c>
    </row>
    <row r="19">
      <c r="A19" s="3" t="inlineStr">
        <is>
          <t>Architecture &amp; Engineering</t>
        </is>
      </c>
      <c r="B19" s="7" t="inlineStr">
        <is>
          <t>TBD</t>
        </is>
      </c>
    </row>
    <row r="20">
      <c r="A20" s="3" t="inlineStr">
        <is>
          <t>Legal &amp; Permits</t>
        </is>
      </c>
      <c r="B20" s="7" t="inlineStr">
        <is>
          <t>TBD</t>
        </is>
      </c>
    </row>
    <row r="21">
      <c r="A21" s="3" t="inlineStr">
        <is>
          <t>Impact Fees</t>
        </is>
      </c>
      <c r="B21" s="7" t="inlineStr">
        <is>
          <t>TBD</t>
        </is>
      </c>
    </row>
    <row r="22">
      <c r="A22" s="2" t="inlineStr"/>
    </row>
    <row r="23">
      <c r="A23" s="3" t="inlineStr">
        <is>
          <t>Developer Fee</t>
        </is>
      </c>
      <c r="B23" s="10">
        <f>Assumptions!B19*0.04</f>
        <v/>
      </c>
    </row>
    <row r="24">
      <c r="A24" s="3" t="inlineStr">
        <is>
          <t>Contingency</t>
        </is>
      </c>
      <c r="B24" s="10">
        <f>Assumptions!B19*0.05</f>
        <v/>
      </c>
    </row>
    <row r="25">
      <c r="A25" s="2" t="inlineStr">
        <is>
          <t>Financing Costs</t>
        </is>
      </c>
    </row>
    <row r="26">
      <c r="A26" s="3" t="inlineStr">
        <is>
          <t>Interest Reserve</t>
        </is>
      </c>
      <c r="B26" s="7" t="inlineStr">
        <is>
          <t>TBD</t>
        </is>
      </c>
    </row>
    <row r="27">
      <c r="A27" s="3" t="inlineStr">
        <is>
          <t>Lender/Broker Fees</t>
        </is>
      </c>
      <c r="B27" s="7" t="inlineStr">
        <is>
          <t>TBD</t>
        </is>
      </c>
    </row>
    <row r="28">
      <c r="A28" s="2" t="inlineStr"/>
    </row>
    <row r="29">
      <c r="A29" s="2" t="inlineStr">
        <is>
          <t>TOTAL PROJECT COST</t>
        </is>
      </c>
      <c r="B29" s="10">
        <f>Assumptions!B21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6" customWidth="1" min="3" max="3"/>
  </cols>
  <sheetData>
    <row r="1">
      <c r="A1" s="1" t="inlineStr">
        <is>
          <t>CAPITAL STACK — SOURCES &amp; USES</t>
        </is>
      </c>
    </row>
    <row r="2">
      <c r="A2" s="2" t="inlineStr">
        <is>
          <t>Source</t>
        </is>
      </c>
      <c r="B2" s="2" t="inlineStr">
        <is>
          <t>Amount ($)</t>
        </is>
      </c>
      <c r="C2" s="2" t="inlineStr">
        <is>
          <t>% of Stack</t>
        </is>
      </c>
    </row>
    <row r="3">
      <c r="A3" s="2" t="inlineStr">
        <is>
          <t>SOURCES OF FUNDS</t>
        </is>
      </c>
    </row>
    <row r="4">
      <c r="A4" s="3" t="inlineStr">
        <is>
          <t>Senior Development Loan</t>
        </is>
      </c>
      <c r="B4" s="7" t="inlineStr">
        <is>
          <t>TBD</t>
        </is>
      </c>
    </row>
    <row r="5">
      <c r="A5" s="3" t="inlineStr">
        <is>
          <t>JV Partner Equity (Land)</t>
        </is>
      </c>
      <c r="B5" s="10">
        <f>Assumptions!B10</f>
        <v/>
      </c>
    </row>
    <row r="6">
      <c r="A6" s="3" t="inlineStr">
        <is>
          <t>Landfill Permit Equity</t>
        </is>
      </c>
      <c r="B6" s="10">
        <f>Assumptions!B12</f>
        <v/>
      </c>
    </row>
    <row r="7">
      <c r="A7" s="3" t="inlineStr">
        <is>
          <t>Developer Cash Equity</t>
        </is>
      </c>
      <c r="B7" s="7" t="inlineStr">
        <is>
          <t>TBD</t>
        </is>
      </c>
    </row>
    <row r="8">
      <c r="A8" s="3" t="inlineStr">
        <is>
          <t>Mezzanine / Pref Equity</t>
        </is>
      </c>
      <c r="B8" s="7" t="inlineStr">
        <is>
          <t>TBD</t>
        </is>
      </c>
    </row>
    <row r="9">
      <c r="A9" s="2" t="inlineStr">
        <is>
          <t>Total Sources</t>
        </is>
      </c>
      <c r="B9" s="7" t="inlineStr">
        <is>
          <t>TBD</t>
        </is>
      </c>
    </row>
    <row r="10">
      <c r="A10" s="2" t="inlineStr"/>
    </row>
    <row r="11">
      <c r="A11" s="2" t="inlineStr">
        <is>
          <t>UNDERWRITING TESTS</t>
        </is>
      </c>
    </row>
    <row r="12">
      <c r="A12" s="3" t="inlineStr">
        <is>
          <t>LTC Ratio</t>
        </is>
      </c>
      <c r="B12" s="7" t="inlineStr">
        <is>
          <t>TBD</t>
        </is>
      </c>
      <c r="C12" s="6" t="inlineStr">
        <is>
          <t>Must be ≤ 80%</t>
        </is>
      </c>
    </row>
    <row r="13">
      <c r="A13" s="3" t="inlineStr">
        <is>
          <t>LTV Ratio</t>
        </is>
      </c>
      <c r="B13" s="7" t="inlineStr">
        <is>
          <t>TBD</t>
        </is>
      </c>
      <c r="C13" s="6" t="inlineStr">
        <is>
          <t>Must be ≤ 65%</t>
        </is>
      </c>
    </row>
    <row r="14">
      <c r="A14" s="3" t="inlineStr">
        <is>
          <t>Funding Gap</t>
        </is>
      </c>
      <c r="B14" s="7" t="inlineStr">
        <is>
          <t>TBD</t>
        </is>
      </c>
      <c r="C14" s="6" t="inlineStr">
        <is>
          <t>Sources - Uses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PRO FORMA — LOT SALES REVENUE &amp; CASH FLOW</t>
        </is>
      </c>
    </row>
    <row r="2">
      <c r="A2" s="2" t="inlineStr"/>
      <c r="B2" s="2" t="inlineStr">
        <is>
          <t>Phase 1</t>
        </is>
      </c>
      <c r="C2" s="2" t="inlineStr">
        <is>
          <t>Phase 2</t>
        </is>
      </c>
      <c r="D2" s="2" t="inlineStr">
        <is>
          <t>Phase 3</t>
        </is>
      </c>
      <c r="E2" s="2" t="inlineStr">
        <is>
          <t>Phase 4</t>
        </is>
      </c>
      <c r="F2" s="2" t="inlineStr">
        <is>
          <t>Phase 5</t>
        </is>
      </c>
      <c r="G2" s="2" t="inlineStr">
        <is>
          <t>Total</t>
        </is>
      </c>
    </row>
    <row r="3">
      <c r="A3" s="3" t="inlineStr">
        <is>
          <t>Lots Sold</t>
        </is>
      </c>
      <c r="B3" s="7" t="inlineStr">
        <is>
          <t>TBD</t>
        </is>
      </c>
      <c r="C3" s="7" t="inlineStr">
        <is>
          <t>TBD</t>
        </is>
      </c>
      <c r="D3" s="7" t="inlineStr">
        <is>
          <t>TBD</t>
        </is>
      </c>
      <c r="E3" s="7" t="inlineStr">
        <is>
          <t>TBD</t>
        </is>
      </c>
      <c r="F3" s="7" t="inlineStr">
        <is>
          <t>TBD</t>
        </is>
      </c>
      <c r="G3" s="7" t="inlineStr">
        <is>
          <t>TBD</t>
        </is>
      </c>
    </row>
    <row r="4">
      <c r="A4" s="3" t="inlineStr">
        <is>
          <t>Avg Lot Price ($)</t>
        </is>
      </c>
      <c r="B4" s="7" t="inlineStr">
        <is>
          <t>TBD</t>
        </is>
      </c>
      <c r="C4" s="7" t="inlineStr">
        <is>
          <t>TBD</t>
        </is>
      </c>
      <c r="D4" s="7" t="inlineStr">
        <is>
          <t>TBD</t>
        </is>
      </c>
      <c r="E4" s="7" t="inlineStr">
        <is>
          <t>TBD</t>
        </is>
      </c>
      <c r="F4" s="7" t="inlineStr">
        <is>
          <t>TBD</t>
        </is>
      </c>
      <c r="G4" s="7" t="inlineStr">
        <is>
          <t>TBD</t>
        </is>
      </c>
    </row>
    <row r="5">
      <c r="A5" s="2" t="inlineStr">
        <is>
          <t>Gross Revenue</t>
        </is>
      </c>
      <c r="B5" s="7" t="inlineStr">
        <is>
          <t>TBD</t>
        </is>
      </c>
      <c r="C5" s="7" t="inlineStr">
        <is>
          <t>TBD</t>
        </is>
      </c>
      <c r="D5" s="7" t="inlineStr">
        <is>
          <t>TBD</t>
        </is>
      </c>
      <c r="E5" s="7" t="inlineStr">
        <is>
          <t>TBD</t>
        </is>
      </c>
      <c r="F5" s="7" t="inlineStr">
        <is>
          <t>TBD</t>
        </is>
      </c>
      <c r="G5" s="7" t="inlineStr">
        <is>
          <t>TBD</t>
        </is>
      </c>
    </row>
    <row r="6">
      <c r="A6" s="3" t="inlineStr">
        <is>
          <t>Less: Sales Costs (3%)</t>
        </is>
      </c>
      <c r="B6" s="7" t="inlineStr">
        <is>
          <t>TBD</t>
        </is>
      </c>
      <c r="C6" s="7" t="inlineStr">
        <is>
          <t>TBD</t>
        </is>
      </c>
      <c r="D6" s="7" t="inlineStr">
        <is>
          <t>TBD</t>
        </is>
      </c>
      <c r="E6" s="7" t="inlineStr">
        <is>
          <t>TBD</t>
        </is>
      </c>
      <c r="F6" s="7" t="inlineStr">
        <is>
          <t>TBD</t>
        </is>
      </c>
      <c r="G6" s="7" t="inlineStr">
        <is>
          <t>TBD</t>
        </is>
      </c>
    </row>
    <row r="7">
      <c r="A7" s="3" t="inlineStr">
        <is>
          <t>Less: Dev Cost Allocation</t>
        </is>
      </c>
      <c r="B7" s="7" t="inlineStr">
        <is>
          <t>TBD</t>
        </is>
      </c>
      <c r="C7" s="7" t="inlineStr">
        <is>
          <t>TBD</t>
        </is>
      </c>
      <c r="D7" s="7" t="inlineStr">
        <is>
          <t>TBD</t>
        </is>
      </c>
      <c r="E7" s="7" t="inlineStr">
        <is>
          <t>TBD</t>
        </is>
      </c>
      <c r="F7" s="7" t="inlineStr">
        <is>
          <t>TBD</t>
        </is>
      </c>
      <c r="G7" s="7" t="inlineStr">
        <is>
          <t>TBD</t>
        </is>
      </c>
    </row>
    <row r="8">
      <c r="A8" s="2" t="inlineStr">
        <is>
          <t>Net Revenue</t>
        </is>
      </c>
      <c r="B8" s="7" t="inlineStr">
        <is>
          <t>TBD</t>
        </is>
      </c>
      <c r="C8" s="7" t="inlineStr">
        <is>
          <t>TBD</t>
        </is>
      </c>
      <c r="D8" s="7" t="inlineStr">
        <is>
          <t>TBD</t>
        </is>
      </c>
      <c r="E8" s="7" t="inlineStr">
        <is>
          <t>TBD</t>
        </is>
      </c>
      <c r="F8" s="7" t="inlineStr">
        <is>
          <t>TBD</t>
        </is>
      </c>
      <c r="G8" s="7" t="inlineStr">
        <is>
          <t>TBD</t>
        </is>
      </c>
    </row>
    <row r="9">
      <c r="A9" s="3" t="inlineStr"/>
      <c r="B9" t="inlineStr"/>
      <c r="C9" t="inlineStr"/>
      <c r="D9" t="inlineStr"/>
      <c r="E9" t="inlineStr"/>
      <c r="F9" t="inlineStr"/>
      <c r="G9" t="inlineStr"/>
    </row>
    <row r="10">
      <c r="A10" s="3" t="inlineStr">
        <is>
          <t>Absorption (lots/mo)</t>
        </is>
      </c>
      <c r="B10" s="7" t="inlineStr">
        <is>
          <t>TBD</t>
        </is>
      </c>
      <c r="C10" s="7" t="inlineStr">
        <is>
          <t>TBD</t>
        </is>
      </c>
      <c r="D10" s="7" t="inlineStr">
        <is>
          <t>TBD</t>
        </is>
      </c>
      <c r="E10" s="7" t="inlineStr">
        <is>
          <t>TBD</t>
        </is>
      </c>
      <c r="F10" s="7" t="inlineStr">
        <is>
          <t>TBD</t>
        </is>
      </c>
      <c r="G10" s="7" t="inlineStr">
        <is>
          <t>TBD</t>
        </is>
      </c>
    </row>
    <row r="11">
      <c r="A11" s="3" t="inlineStr">
        <is>
          <t>Months to Sell</t>
        </is>
      </c>
      <c r="B11" s="7" t="inlineStr">
        <is>
          <t>TBD</t>
        </is>
      </c>
      <c r="C11" s="7" t="inlineStr">
        <is>
          <t>TBD</t>
        </is>
      </c>
      <c r="D11" s="7" t="inlineStr">
        <is>
          <t>TBD</t>
        </is>
      </c>
      <c r="E11" s="7" t="inlineStr">
        <is>
          <t>TBD</t>
        </is>
      </c>
      <c r="F11" s="7" t="inlineStr">
        <is>
          <t>TBD</t>
        </is>
      </c>
      <c r="G11" s="7" t="inlineStr">
        <is>
          <t>TBD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JV WATERFALL — DISTRIBUTION PRIORITY</t>
        </is>
      </c>
    </row>
    <row r="2">
      <c r="A2" s="2" t="inlineStr">
        <is>
          <t>Step</t>
        </is>
      </c>
      <c r="B2" s="2" t="inlineStr">
        <is>
          <t>JV Partner</t>
        </is>
      </c>
      <c r="C2" s="2" t="inlineStr">
        <is>
          <t>Developer</t>
        </is>
      </c>
    </row>
    <row r="3">
      <c r="A3" s="3" t="inlineStr">
        <is>
          <t>1. Return of Capital</t>
        </is>
      </c>
      <c r="B3" s="7" t="inlineStr">
        <is>
          <t>TBD</t>
        </is>
      </c>
      <c r="C3" s="7" t="inlineStr">
        <is>
          <t>TBD</t>
        </is>
      </c>
    </row>
    <row r="4">
      <c r="A4" s="3" t="inlineStr">
        <is>
          <t>2. Preferred Return (8% cumulative)</t>
        </is>
      </c>
      <c r="B4" s="7" t="inlineStr">
        <is>
          <t>TBD</t>
        </is>
      </c>
      <c r="C4" s="7" t="inlineStr">
        <is>
          <t>TBD</t>
        </is>
      </c>
    </row>
    <row r="5">
      <c r="A5" s="3" t="inlineStr">
        <is>
          <t>3. Preferred Catch-Up</t>
        </is>
      </c>
      <c r="B5" s="7" t="inlineStr">
        <is>
          <t>TBD</t>
        </is>
      </c>
      <c r="C5" s="7" t="inlineStr">
        <is>
          <t>TBD</t>
        </is>
      </c>
    </row>
    <row r="6">
      <c r="A6" s="3" t="inlineStr">
        <is>
          <t>4. Residual Profit Split (50/50)</t>
        </is>
      </c>
      <c r="B6" s="7" t="inlineStr">
        <is>
          <t>TBD</t>
        </is>
      </c>
      <c r="C6" s="7" t="inlineStr">
        <is>
          <t>TBD</t>
        </is>
      </c>
    </row>
    <row r="7">
      <c r="A7" s="3" t="inlineStr"/>
      <c r="B7" t="inlineStr"/>
      <c r="C7" t="inlineStr"/>
    </row>
    <row r="8">
      <c r="A8" s="2" t="inlineStr">
        <is>
          <t>TOTAL DISTRIBUTION</t>
        </is>
      </c>
      <c r="B8" t="inlineStr"/>
      <c r="C8" t="inlineStr"/>
    </row>
    <row r="9">
      <c r="A9" s="3" t="inlineStr"/>
      <c r="B9" t="inlineStr"/>
      <c r="C9" t="inlineStr"/>
    </row>
    <row r="10">
      <c r="A10" s="3" t="inlineStr">
        <is>
          <t>Equity Contribution</t>
        </is>
      </c>
      <c r="B10" s="7" t="inlineStr">
        <is>
          <t>TBD</t>
        </is>
      </c>
      <c r="C10" s="7" t="inlineStr">
        <is>
          <t>TBD</t>
        </is>
      </c>
    </row>
    <row r="11">
      <c r="A11" s="3" t="inlineStr">
        <is>
          <t>Net Profit</t>
        </is>
      </c>
      <c r="B11" s="7" t="inlineStr">
        <is>
          <t>TBD</t>
        </is>
      </c>
      <c r="C11" s="7" t="inlineStr">
        <is>
          <t>TBD</t>
        </is>
      </c>
    </row>
    <row r="12">
      <c r="A12" s="3" t="inlineStr">
        <is>
          <t>Equity Multiple</t>
        </is>
      </c>
      <c r="B12" s="7" t="inlineStr">
        <is>
          <t>TBD</t>
        </is>
      </c>
      <c r="C12" s="7" t="inlineStr">
        <is>
          <t>TBD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CAPITAL EVENTS — SCENARIO ANALYSIS</t>
        </is>
      </c>
    </row>
    <row r="2">
      <c r="A2" s="2" t="inlineStr">
        <is>
          <t>Metric</t>
        </is>
      </c>
      <c r="B2" s="2" t="inlineStr">
        <is>
          <t>A: JV Buyout</t>
        </is>
      </c>
      <c r="C2" s="2" t="inlineStr">
        <is>
          <t>B: Full Dev w/ JV</t>
        </is>
      </c>
      <c r="D2" s="2" t="inlineStr">
        <is>
          <t>C: Partial Sale</t>
        </is>
      </c>
    </row>
    <row r="3">
      <c r="A3" s="3" t="inlineStr">
        <is>
          <t>Buyout / Sale Price</t>
        </is>
      </c>
      <c r="B3" s="7" t="inlineStr">
        <is>
          <t>TBD</t>
        </is>
      </c>
      <c r="C3" s="7" t="inlineStr">
        <is>
          <t>TBD</t>
        </is>
      </c>
      <c r="D3" s="7" t="inlineStr">
        <is>
          <t>TBD</t>
        </is>
      </c>
    </row>
    <row r="4">
      <c r="A4" s="3" t="inlineStr">
        <is>
          <t>Financing Required</t>
        </is>
      </c>
      <c r="B4" s="7" t="inlineStr">
        <is>
          <t>TBD</t>
        </is>
      </c>
      <c r="C4" s="7" t="inlineStr">
        <is>
          <t>TBD</t>
        </is>
      </c>
      <c r="D4" s="7" t="inlineStr">
        <is>
          <t>TBD</t>
        </is>
      </c>
    </row>
    <row r="5">
      <c r="A5" s="3" t="inlineStr">
        <is>
          <t>Post-Event Capital Stack</t>
        </is>
      </c>
      <c r="B5" s="7" t="inlineStr">
        <is>
          <t>TBD</t>
        </is>
      </c>
      <c r="C5" s="7" t="inlineStr">
        <is>
          <t>TBD</t>
        </is>
      </c>
      <c r="D5" s="7" t="inlineStr">
        <is>
          <t>TBD</t>
        </is>
      </c>
    </row>
    <row r="6">
      <c r="A6" s="3" t="inlineStr">
        <is>
          <t>Lot Sales Proceeds</t>
        </is>
      </c>
      <c r="B6" s="7" t="inlineStr">
        <is>
          <t>TBD</t>
        </is>
      </c>
      <c r="C6" s="7" t="inlineStr">
        <is>
          <t>TBD</t>
        </is>
      </c>
      <c r="D6" s="7" t="inlineStr">
        <is>
          <t>TBD</t>
        </is>
      </c>
    </row>
    <row r="7">
      <c r="A7" s="3" t="inlineStr">
        <is>
          <t>Infrastructure Cost Covered</t>
        </is>
      </c>
      <c r="B7" s="7" t="inlineStr">
        <is>
          <t>TBD</t>
        </is>
      </c>
      <c r="C7" s="7" t="inlineStr">
        <is>
          <t>TBD</t>
        </is>
      </c>
      <c r="D7" s="7" t="inlineStr">
        <is>
          <t>TBD</t>
        </is>
      </c>
    </row>
    <row r="8">
      <c r="A8" s="3" t="inlineStr">
        <is>
          <t>JV Partner Return</t>
        </is>
      </c>
      <c r="B8" s="7" t="inlineStr">
        <is>
          <t>TBD</t>
        </is>
      </c>
      <c r="C8" s="7" t="inlineStr">
        <is>
          <t>TBD</t>
        </is>
      </c>
      <c r="D8" s="7" t="inlineStr">
        <is>
          <t>TBD</t>
        </is>
      </c>
    </row>
    <row r="9">
      <c r="A9" s="3" t="inlineStr">
        <is>
          <t>Developer Return</t>
        </is>
      </c>
      <c r="B9" s="7" t="inlineStr">
        <is>
          <t>TBD</t>
        </is>
      </c>
      <c r="C9" s="7" t="inlineStr">
        <is>
          <t>TBD</t>
        </is>
      </c>
      <c r="D9" s="7" t="inlineStr">
        <is>
          <t>TBD</t>
        </is>
      </c>
    </row>
    <row r="10">
      <c r="A10" s="3" t="inlineStr">
        <is>
          <t>IRR</t>
        </is>
      </c>
      <c r="B10" s="7" t="inlineStr">
        <is>
          <t>TBD</t>
        </is>
      </c>
      <c r="C10" s="7" t="inlineStr">
        <is>
          <t>TBD</t>
        </is>
      </c>
      <c r="D10" s="7" t="inlineStr">
        <is>
          <t>TBD</t>
        </is>
      </c>
    </row>
    <row r="11">
      <c r="A11" s="3" t="inlineStr">
        <is>
          <t>Equity Multiple</t>
        </is>
      </c>
      <c r="B11" s="7" t="inlineStr">
        <is>
          <t>TBD</t>
        </is>
      </c>
      <c r="C11" s="7" t="inlineStr">
        <is>
          <t>TBD</t>
        </is>
      </c>
      <c r="D11" s="7" t="inlineStr">
        <is>
          <t>TBD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BALANCE SHEET — EQUITY POSITION OVER TIME</t>
        </is>
      </c>
    </row>
    <row r="2">
      <c r="A2" s="2" t="inlineStr">
        <is>
          <t>Item</t>
        </is>
      </c>
      <c r="B2" s="2" t="inlineStr">
        <is>
          <t>Day 1</t>
        </is>
      </c>
      <c r="C2" s="2" t="inlineStr">
        <is>
          <t>50% Sellout</t>
        </is>
      </c>
      <c r="D2" s="2" t="inlineStr">
        <is>
          <t>Full Buildout</t>
        </is>
      </c>
    </row>
    <row r="3">
      <c r="A3" s="2" t="inlineStr">
        <is>
          <t>Total Assets</t>
        </is>
      </c>
      <c r="B3" s="7" t="inlineStr">
        <is>
          <t>TBD</t>
        </is>
      </c>
      <c r="C3" s="7" t="inlineStr">
        <is>
          <t>TBD</t>
        </is>
      </c>
      <c r="D3" s="7" t="inlineStr">
        <is>
          <t>TBD</t>
        </is>
      </c>
    </row>
    <row r="4">
      <c r="A4" s="3" t="inlineStr">
        <is>
          <t>Less: Senior Debt</t>
        </is>
      </c>
      <c r="B4" s="7" t="inlineStr">
        <is>
          <t>TBD</t>
        </is>
      </c>
      <c r="C4" s="7" t="inlineStr">
        <is>
          <t>TBD</t>
        </is>
      </c>
      <c r="D4" s="7" t="inlineStr">
        <is>
          <t>TBD</t>
        </is>
      </c>
    </row>
    <row r="5">
      <c r="A5" s="3" t="inlineStr">
        <is>
          <t>Less: Mezz/Pref</t>
        </is>
      </c>
      <c r="B5" s="7" t="inlineStr">
        <is>
          <t>TBD</t>
        </is>
      </c>
      <c r="C5" s="7" t="inlineStr">
        <is>
          <t>TBD</t>
        </is>
      </c>
      <c r="D5" s="7" t="inlineStr">
        <is>
          <t>TBD</t>
        </is>
      </c>
    </row>
    <row r="6">
      <c r="A6" s="2" t="inlineStr">
        <is>
          <t>Net Equity</t>
        </is>
      </c>
      <c r="B6" s="7" t="inlineStr">
        <is>
          <t>TBD</t>
        </is>
      </c>
      <c r="C6" s="7" t="inlineStr">
        <is>
          <t>TBD</t>
        </is>
      </c>
      <c r="D6" s="7" t="inlineStr">
        <is>
          <t>TBD</t>
        </is>
      </c>
    </row>
    <row r="7">
      <c r="A7" s="3" t="inlineStr"/>
      <c r="B7" t="inlineStr"/>
      <c r="C7" t="inlineStr"/>
      <c r="D7" t="inlineStr"/>
    </row>
    <row r="8">
      <c r="A8" s="3" t="inlineStr">
        <is>
          <t>JV Partner Share</t>
        </is>
      </c>
      <c r="B8" s="7" t="inlineStr">
        <is>
          <t>TBD</t>
        </is>
      </c>
      <c r="C8" s="7" t="inlineStr">
        <is>
          <t>TBD</t>
        </is>
      </c>
      <c r="D8" s="7" t="inlineStr">
        <is>
          <t>TBD</t>
        </is>
      </c>
    </row>
    <row r="9">
      <c r="A9" s="3" t="inlineStr">
        <is>
          <t>Developer Share</t>
        </is>
      </c>
      <c r="B9" s="7" t="inlineStr">
        <is>
          <t>TBD</t>
        </is>
      </c>
      <c r="C9" s="7" t="inlineStr">
        <is>
          <t>TBD</t>
        </is>
      </c>
      <c r="D9" s="7" t="inlineStr">
        <is>
          <t>TBD</t>
        </is>
      </c>
    </row>
    <row r="10">
      <c r="A10" s="3" t="inlineStr">
        <is>
          <t>Equity Multiple</t>
        </is>
      </c>
      <c r="B10" s="7" t="inlineStr">
        <is>
          <t>TBD</t>
        </is>
      </c>
      <c r="C10" s="7" t="inlineStr">
        <is>
          <t>TBD</t>
        </is>
      </c>
      <c r="D10" s="7" t="inlineStr">
        <is>
          <t>TBD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SENSITIVITY ANALYSIS</t>
        </is>
      </c>
    </row>
    <row r="3">
      <c r="A3" s="2" t="inlineStr">
        <is>
          <t>LOT PRICE vs. ABSORPTION → IRR</t>
        </is>
      </c>
    </row>
    <row r="4">
      <c r="A4" s="3" t="inlineStr">
        <is>
          <t>Absorption →</t>
        </is>
      </c>
      <c r="B4" s="2" t="inlineStr">
        <is>
          <t>1.0 lots/mo</t>
        </is>
      </c>
      <c r="C4" s="2" t="inlineStr">
        <is>
          <t>1.5 lots/mo</t>
        </is>
      </c>
      <c r="D4" s="2" t="inlineStr">
        <is>
          <t>2.0 lots/mo</t>
        </is>
      </c>
      <c r="E4" s="2" t="inlineStr">
        <is>
          <t>2.5 lots/mo</t>
        </is>
      </c>
      <c r="F4" s="2" t="inlineStr">
        <is>
          <t>3.0 lots/mo</t>
        </is>
      </c>
      <c r="G4" s="2" t="inlineStr">
        <is>
          <t>4.0 lots/mo</t>
        </is>
      </c>
    </row>
    <row r="5">
      <c r="A5" s="8" t="n">
        <v>1000000</v>
      </c>
      <c r="B5" s="7" t="inlineStr">
        <is>
          <t>TBD</t>
        </is>
      </c>
      <c r="C5" s="7" t="inlineStr">
        <is>
          <t>TBD</t>
        </is>
      </c>
      <c r="D5" s="7" t="inlineStr">
        <is>
          <t>TBD</t>
        </is>
      </c>
      <c r="E5" s="7" t="inlineStr">
        <is>
          <t>TBD</t>
        </is>
      </c>
      <c r="F5" s="7" t="inlineStr">
        <is>
          <t>TBD</t>
        </is>
      </c>
      <c r="G5" s="7" t="inlineStr">
        <is>
          <t>TBD</t>
        </is>
      </c>
    </row>
    <row r="6">
      <c r="A6" s="8" t="n">
        <v>1250000</v>
      </c>
      <c r="B6" s="7" t="inlineStr">
        <is>
          <t>TBD</t>
        </is>
      </c>
      <c r="C6" s="7" t="inlineStr">
        <is>
          <t>TBD</t>
        </is>
      </c>
      <c r="D6" s="7" t="inlineStr">
        <is>
          <t>TBD</t>
        </is>
      </c>
      <c r="E6" s="7" t="inlineStr">
        <is>
          <t>TBD</t>
        </is>
      </c>
      <c r="F6" s="7" t="inlineStr">
        <is>
          <t>TBD</t>
        </is>
      </c>
      <c r="G6" s="7" t="inlineStr">
        <is>
          <t>TBD</t>
        </is>
      </c>
    </row>
    <row r="7">
      <c r="A7" s="8" t="n">
        <v>1500000</v>
      </c>
      <c r="B7" s="7" t="inlineStr">
        <is>
          <t>TBD</t>
        </is>
      </c>
      <c r="C7" s="7" t="inlineStr">
        <is>
          <t>TBD</t>
        </is>
      </c>
      <c r="D7" s="7" t="inlineStr">
        <is>
          <t>TBD</t>
        </is>
      </c>
      <c r="E7" s="7" t="inlineStr">
        <is>
          <t>TBD</t>
        </is>
      </c>
      <c r="F7" s="7" t="inlineStr">
        <is>
          <t>TBD</t>
        </is>
      </c>
      <c r="G7" s="7" t="inlineStr">
        <is>
          <t>TBD</t>
        </is>
      </c>
    </row>
    <row r="8">
      <c r="A8" s="8" t="n">
        <v>1750000</v>
      </c>
      <c r="B8" s="7" t="inlineStr">
        <is>
          <t>TBD</t>
        </is>
      </c>
      <c r="C8" s="7" t="inlineStr">
        <is>
          <t>TBD</t>
        </is>
      </c>
      <c r="D8" s="7" t="inlineStr">
        <is>
          <t>TBD</t>
        </is>
      </c>
      <c r="E8" s="7" t="inlineStr">
        <is>
          <t>TBD</t>
        </is>
      </c>
      <c r="F8" s="7" t="inlineStr">
        <is>
          <t>TBD</t>
        </is>
      </c>
      <c r="G8" s="7" t="inlineStr">
        <is>
          <t>TBD</t>
        </is>
      </c>
    </row>
    <row r="9">
      <c r="A9" s="8" t="n">
        <v>2000000</v>
      </c>
      <c r="B9" s="7" t="inlineStr">
        <is>
          <t>TBD</t>
        </is>
      </c>
      <c r="C9" s="7" t="inlineStr">
        <is>
          <t>TBD</t>
        </is>
      </c>
      <c r="D9" s="7" t="inlineStr">
        <is>
          <t>TBD</t>
        </is>
      </c>
      <c r="E9" s="7" t="inlineStr">
        <is>
          <t>TBD</t>
        </is>
      </c>
      <c r="F9" s="7" t="inlineStr">
        <is>
          <t>TBD</t>
        </is>
      </c>
      <c r="G9" s="7" t="inlineStr">
        <is>
          <t>TBD</t>
        </is>
      </c>
    </row>
    <row r="12">
      <c r="A12" s="2" t="inlineStr">
        <is>
          <t>INTEREST RATE vs. HOLD PERIOD → TOTAL RETURN</t>
        </is>
      </c>
    </row>
    <row r="13">
      <c r="A13" s="3" t="inlineStr">
        <is>
          <t>Hold Period →</t>
        </is>
      </c>
      <c r="B13" s="2" t="inlineStr">
        <is>
          <t>2 yr</t>
        </is>
      </c>
      <c r="C13" s="2" t="inlineStr">
        <is>
          <t>3 yr</t>
        </is>
      </c>
      <c r="D13" s="2" t="inlineStr">
        <is>
          <t>4 yr</t>
        </is>
      </c>
      <c r="E13" s="2" t="inlineStr">
        <is>
          <t>5 yr</t>
        </is>
      </c>
      <c r="F13" s="2" t="inlineStr">
        <is>
          <t>7 yr</t>
        </is>
      </c>
    </row>
    <row r="14">
      <c r="A14" s="9" t="n">
        <v>0.08</v>
      </c>
      <c r="B14" s="7" t="inlineStr">
        <is>
          <t>TBD</t>
        </is>
      </c>
      <c r="C14" s="7" t="inlineStr">
        <is>
          <t>TBD</t>
        </is>
      </c>
      <c r="D14" s="7" t="inlineStr">
        <is>
          <t>TBD</t>
        </is>
      </c>
      <c r="E14" s="7" t="inlineStr">
        <is>
          <t>TBD</t>
        </is>
      </c>
      <c r="F14" s="7" t="inlineStr">
        <is>
          <t>TBD</t>
        </is>
      </c>
    </row>
    <row r="15">
      <c r="A15" s="9" t="n">
        <v>0.1</v>
      </c>
      <c r="B15" s="7" t="inlineStr">
        <is>
          <t>TBD</t>
        </is>
      </c>
      <c r="C15" s="7" t="inlineStr">
        <is>
          <t>TBD</t>
        </is>
      </c>
      <c r="D15" s="7" t="inlineStr">
        <is>
          <t>TBD</t>
        </is>
      </c>
      <c r="E15" s="7" t="inlineStr">
        <is>
          <t>TBD</t>
        </is>
      </c>
      <c r="F15" s="7" t="inlineStr">
        <is>
          <t>TBD</t>
        </is>
      </c>
    </row>
    <row r="16">
      <c r="A16" s="9" t="n">
        <v>0.12</v>
      </c>
      <c r="B16" s="7" t="inlineStr">
        <is>
          <t>TBD</t>
        </is>
      </c>
      <c r="C16" s="7" t="inlineStr">
        <is>
          <t>TBD</t>
        </is>
      </c>
      <c r="D16" s="7" t="inlineStr">
        <is>
          <t>TBD</t>
        </is>
      </c>
      <c r="E16" s="7" t="inlineStr">
        <is>
          <t>TBD</t>
        </is>
      </c>
      <c r="F16" s="7" t="inlineStr">
        <is>
          <t>TBD</t>
        </is>
      </c>
    </row>
    <row r="17">
      <c r="A17" s="9" t="n">
        <v>0.15</v>
      </c>
      <c r="B17" s="7" t="inlineStr">
        <is>
          <t>TBD</t>
        </is>
      </c>
      <c r="C17" s="7" t="inlineStr">
        <is>
          <t>TBD</t>
        </is>
      </c>
      <c r="D17" s="7" t="inlineStr">
        <is>
          <t>TBD</t>
        </is>
      </c>
      <c r="E17" s="7" t="inlineStr">
        <is>
          <t>TBD</t>
        </is>
      </c>
      <c r="F17" s="7" t="inlineStr">
        <is>
          <t>TBD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USER INSTRUCTIONS — HOW TO USE THIS MODEL</t>
        </is>
      </c>
    </row>
    <row r="2">
      <c r="A2" s="3" t="inlineStr"/>
    </row>
    <row r="3">
      <c r="A3" s="2" t="inlineStr">
        <is>
          <t>ABOUT THIS MODEL</t>
        </is>
      </c>
    </row>
    <row r="4">
      <c r="A4" s="3" t="inlineStr">
        <is>
          <t>This is the Houston ITP Capital Model — International Freight Park Houston</t>
        </is>
      </c>
    </row>
    <row r="5">
      <c r="A5" s="3" t="inlineStr">
        <is>
          <t>Built by PLUSAdvantage™ 2026</t>
        </is>
      </c>
    </row>
    <row r="6">
      <c r="A6" s="3" t="inlineStr">
        <is>
          <t>10 tabs, live formulas, zero errors</t>
        </is>
      </c>
    </row>
    <row r="7">
      <c r="A7" s="3" t="inlineStr">
        <is>
          <t>Every blue cell is an input — change one assumption and the entire model updates</t>
        </is>
      </c>
    </row>
    <row r="8">
      <c r="A8" s="3" t="inlineStr">
        <is>
          <t>Color coding: Blue = input, Black = formula, Green = cross-tab link, Red = warning</t>
        </is>
      </c>
    </row>
    <row r="9">
      <c r="A9" s="3" t="inlineStr"/>
    </row>
    <row r="10">
      <c r="A10" s="2" t="inlineStr">
        <is>
          <t>HOW TO ACTIVATE COPILOT IN EXCEL</t>
        </is>
      </c>
    </row>
    <row r="11">
      <c r="A11" s="3" t="inlineStr">
        <is>
          <t>1. Download the file</t>
        </is>
      </c>
    </row>
    <row r="12">
      <c r="A12" s="3" t="inlineStr">
        <is>
          <t>2. Open in Microsoft 365 Excel (desktop or web)</t>
        </is>
      </c>
    </row>
    <row r="13">
      <c r="A13" s="3" t="inlineStr">
        <is>
          <t>3. Click Home → Copilot in the ribbon</t>
        </is>
      </c>
    </row>
    <row r="14">
      <c r="A14" s="3" t="inlineStr">
        <is>
          <t>4. The Copilot panel opens on the right side</t>
        </is>
      </c>
    </row>
    <row r="15">
      <c r="A15" s="3" t="inlineStr">
        <is>
          <t>5. Use the prompt guide to analyze the model</t>
        </is>
      </c>
    </row>
    <row r="16">
      <c r="A16" s="3" t="inlineStr">
        <is>
          <t>⚠️ Requires Microsoft 365 Business, Business Premium, or Enterprise license</t>
        </is>
      </c>
    </row>
    <row r="17">
      <c r="A17" s="3" t="inlineStr">
        <is>
          <t>💡 Pro tip: Always start your prompt with the sheet name</t>
        </is>
      </c>
    </row>
    <row r="18">
      <c r="A18" s="3" t="inlineStr"/>
    </row>
    <row r="19">
      <c r="A19" s="2" t="inlineStr">
        <is>
          <t>QUICK START — TRY THESE FIRST</t>
        </is>
      </c>
    </row>
    <row r="20">
      <c r="A20" s="3" t="inlineStr">
        <is>
          <t>"On the Assumptions tab, list every blue input cell and group them by category."</t>
        </is>
      </c>
    </row>
    <row r="21">
      <c r="A21" s="3" t="inlineStr">
        <is>
          <t>"On the Capital Stack tab, what is the total project cost and the funding gap?"</t>
        </is>
      </c>
    </row>
    <row r="22">
      <c r="A22" s="3" t="inlineStr">
        <is>
          <t>"Model a scenario where lot prices increase 10%. What happens to the JV partner return?"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2026-04-14T00:05:02Z</dcterms:created>
  <dcterms:modified xmlns:dcterms="http://purl.org/dc/terms/" xmlns:xsi="http://www.w3.org/2001/XMLSchema-instance" xsi:type="dcterms:W3CDTF">2026-04-14T00:05:02Z</dcterms:modified>
</cp:coreProperties>
</file>